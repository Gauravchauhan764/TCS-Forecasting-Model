
<file path=[Content_Types].xml><?xml version="1.0" encoding="utf-8"?>
<Types xmlns="http://schemas.openxmlformats.org/package/2006/content-types">
  <Default Extension="gif" ContentType="image/gi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525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vineey/excel/Financial Modeling/"/>
    </mc:Choice>
  </mc:AlternateContent>
  <xr:revisionPtr revIDLastSave="0" documentId="13_ncr:1_{2E10F298-76E5-7B40-A1A5-DD8F7B9FEC96}" xr6:coauthVersionLast="48" xr6:coauthVersionMax="48" xr10:uidLastSave="{00000000-0000-0000-0000-000000000000}"/>
  <bookViews>
    <workbookView xWindow="0" yWindow="500" windowWidth="28800" windowHeight="16480" firstSheet="2" activeTab="7" xr2:uid="{16579884-7878-2040-BDF6-0F42CD12D18B}"/>
  </bookViews>
  <sheets>
    <sheet name="Consolidated Key Financial Rati" sheetId="4" r:id="rId1"/>
    <sheet name="Consolidated Cash Flow" sheetId="3" r:id="rId2"/>
    <sheet name="Consolidated Balance Sheet" sheetId="1" r:id="rId3"/>
    <sheet name="Consolidated Profit &amp; Loss acco" sheetId="2" r:id="rId4"/>
    <sheet name="Reformulated Balance Sheet" sheetId="5" r:id="rId5"/>
    <sheet name="Reformulated Income" sheetId="6" r:id="rId6"/>
    <sheet name="Reformulated CashFlow Sataement" sheetId="7" r:id="rId7"/>
    <sheet name="Assumption " sheetId="8" r:id="rId8"/>
    <sheet name="Net Working Capital" sheetId="12" r:id="rId9"/>
    <sheet name="FREE CASHFLOW" sheetId="10" r:id="rId10"/>
    <sheet name="WACC" sheetId="11" r:id="rId11"/>
    <sheet name="DCF" sheetId="14" r:id="rId1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B11" i="14" l="1"/>
  <c r="E10" i="8"/>
  <c r="H46" i="1"/>
  <c r="I46" i="1"/>
  <c r="J46" i="1"/>
  <c r="K46" i="1"/>
  <c r="G46" i="1"/>
  <c r="H45" i="1"/>
  <c r="I45" i="1"/>
  <c r="J45" i="1"/>
  <c r="K45" i="1"/>
  <c r="G45" i="1"/>
  <c r="C23" i="1"/>
  <c r="D23" i="1"/>
  <c r="E23" i="1"/>
  <c r="F23" i="1"/>
  <c r="G23" i="1"/>
  <c r="H23" i="1"/>
  <c r="I23" i="1"/>
  <c r="J23" i="1"/>
  <c r="K23" i="1"/>
  <c r="H10" i="1"/>
  <c r="I10" i="1" s="1"/>
  <c r="J10" i="1" s="1"/>
  <c r="K10" i="1" s="1"/>
  <c r="G10" i="1"/>
  <c r="H5" i="1"/>
  <c r="I5" i="1" s="1"/>
  <c r="H6" i="1"/>
  <c r="H7" i="1"/>
  <c r="I7" i="1" s="1"/>
  <c r="H8" i="1"/>
  <c r="H9" i="1" s="1"/>
  <c r="H12" i="1"/>
  <c r="H16" i="1" s="1"/>
  <c r="I12" i="1"/>
  <c r="I16" i="1" s="1"/>
  <c r="H13" i="1"/>
  <c r="I13" i="1" s="1"/>
  <c r="J13" i="1" s="1"/>
  <c r="K13" i="1" s="1"/>
  <c r="H14" i="1"/>
  <c r="I14" i="1"/>
  <c r="J14" i="1" s="1"/>
  <c r="K14" i="1" s="1"/>
  <c r="H15" i="1"/>
  <c r="I15" i="1" s="1"/>
  <c r="J15" i="1" s="1"/>
  <c r="K15" i="1" s="1"/>
  <c r="H18" i="1"/>
  <c r="I18" i="1" s="1"/>
  <c r="H19" i="1"/>
  <c r="H22" i="1" s="1"/>
  <c r="I19" i="1"/>
  <c r="J19" i="1" s="1"/>
  <c r="K19" i="1" s="1"/>
  <c r="H20" i="1"/>
  <c r="I20" i="1" s="1"/>
  <c r="J20" i="1" s="1"/>
  <c r="K20" i="1" s="1"/>
  <c r="H21" i="1"/>
  <c r="I21" i="1"/>
  <c r="J21" i="1" s="1"/>
  <c r="K21" i="1" s="1"/>
  <c r="H26" i="1"/>
  <c r="I26" i="1" s="1"/>
  <c r="H27" i="1"/>
  <c r="I27" i="1"/>
  <c r="J27" i="1" s="1"/>
  <c r="K27" i="1" s="1"/>
  <c r="H28" i="1"/>
  <c r="I28" i="1" s="1"/>
  <c r="J28" i="1" s="1"/>
  <c r="K28" i="1" s="1"/>
  <c r="H29" i="1"/>
  <c r="H30" i="1"/>
  <c r="I30" i="1" s="1"/>
  <c r="H31" i="1"/>
  <c r="H34" i="1" s="1"/>
  <c r="H35" i="1" s="1"/>
  <c r="I31" i="1"/>
  <c r="J31" i="1" s="1"/>
  <c r="K31" i="1" s="1"/>
  <c r="H32" i="1"/>
  <c r="I32" i="1" s="1"/>
  <c r="J32" i="1" s="1"/>
  <c r="K32" i="1" s="1"/>
  <c r="H33" i="1"/>
  <c r="I33" i="1"/>
  <c r="J33" i="1" s="1"/>
  <c r="K33" i="1" s="1"/>
  <c r="H37" i="1"/>
  <c r="I37" i="1" s="1"/>
  <c r="H38" i="1"/>
  <c r="H43" i="1" s="1"/>
  <c r="H44" i="1" s="1"/>
  <c r="I38" i="1"/>
  <c r="J38" i="1" s="1"/>
  <c r="K38" i="1" s="1"/>
  <c r="H39" i="1"/>
  <c r="I39" i="1" s="1"/>
  <c r="J39" i="1" s="1"/>
  <c r="K39" i="1" s="1"/>
  <c r="H40" i="1"/>
  <c r="I40" i="1"/>
  <c r="J40" i="1" s="1"/>
  <c r="K40" i="1" s="1"/>
  <c r="H41" i="1"/>
  <c r="I41" i="1" s="1"/>
  <c r="J41" i="1" s="1"/>
  <c r="K41" i="1" s="1"/>
  <c r="H42" i="1"/>
  <c r="I42" i="1"/>
  <c r="J42" i="1" s="1"/>
  <c r="K42" i="1" s="1"/>
  <c r="H47" i="5"/>
  <c r="I47" i="5"/>
  <c r="J47" i="5"/>
  <c r="K47" i="5"/>
  <c r="G47" i="5"/>
  <c r="G42" i="1"/>
  <c r="G41" i="1"/>
  <c r="G40" i="1"/>
  <c r="G39" i="1"/>
  <c r="G38" i="1"/>
  <c r="G37" i="1"/>
  <c r="G33" i="1"/>
  <c r="G32" i="1"/>
  <c r="G31" i="1"/>
  <c r="G30" i="1"/>
  <c r="G28" i="1"/>
  <c r="G27" i="1"/>
  <c r="G26" i="1"/>
  <c r="G21" i="1"/>
  <c r="G20" i="1"/>
  <c r="G19" i="1"/>
  <c r="G18" i="1"/>
  <c r="G15" i="1"/>
  <c r="G14" i="1"/>
  <c r="G13" i="1"/>
  <c r="E35" i="8"/>
  <c r="G20" i="5" s="1"/>
  <c r="H20" i="5" s="1"/>
  <c r="I20" i="5" s="1"/>
  <c r="J20" i="5" s="1"/>
  <c r="K20" i="5" s="1"/>
  <c r="G35" i="8"/>
  <c r="H35" i="8"/>
  <c r="I35" i="8"/>
  <c r="J35" i="8"/>
  <c r="F35" i="8"/>
  <c r="G43" i="1"/>
  <c r="G34" i="1"/>
  <c r="G22" i="1"/>
  <c r="I22" i="1" l="1"/>
  <c r="J18" i="1"/>
  <c r="I8" i="1"/>
  <c r="J7" i="1"/>
  <c r="I43" i="1"/>
  <c r="J37" i="1"/>
  <c r="I34" i="1"/>
  <c r="J30" i="1"/>
  <c r="I29" i="1"/>
  <c r="J26" i="1"/>
  <c r="I6" i="1"/>
  <c r="J5" i="1"/>
  <c r="J12" i="1"/>
  <c r="G29" i="1"/>
  <c r="G35" i="1" s="1"/>
  <c r="G44" i="1" s="1"/>
  <c r="B3" i="14"/>
  <c r="B21" i="10"/>
  <c r="D20" i="10"/>
  <c r="E20" i="10"/>
  <c r="F20" i="10"/>
  <c r="C20" i="10"/>
  <c r="K30" i="1" l="1"/>
  <c r="K34" i="1" s="1"/>
  <c r="J34" i="1"/>
  <c r="J35" i="1" s="1"/>
  <c r="J16" i="1"/>
  <c r="K12" i="1"/>
  <c r="K16" i="1" s="1"/>
  <c r="I35" i="1"/>
  <c r="I44" i="1" s="1"/>
  <c r="K5" i="1"/>
  <c r="K6" i="1" s="1"/>
  <c r="J6" i="1"/>
  <c r="K26" i="1"/>
  <c r="K29" i="1" s="1"/>
  <c r="J29" i="1"/>
  <c r="I9" i="1"/>
  <c r="K18" i="1"/>
  <c r="K22" i="1" s="1"/>
  <c r="J22" i="1"/>
  <c r="J43" i="1"/>
  <c r="J44" i="1" s="1"/>
  <c r="K37" i="1"/>
  <c r="K43" i="1" s="1"/>
  <c r="K7" i="1"/>
  <c r="K8" i="1" s="1"/>
  <c r="K9" i="1" s="1"/>
  <c r="J8" i="1"/>
  <c r="J9" i="1" l="1"/>
  <c r="K35" i="1"/>
  <c r="K44" i="1" s="1"/>
  <c r="F17" i="12"/>
  <c r="E17" i="12"/>
  <c r="D17" i="12"/>
  <c r="C17" i="12"/>
  <c r="B17" i="12"/>
  <c r="B11" i="12"/>
  <c r="C11" i="12"/>
  <c r="D11" i="12"/>
  <c r="D15" i="12" s="1"/>
  <c r="E11" i="12"/>
  <c r="F11" i="12"/>
  <c r="B12" i="12"/>
  <c r="C12" i="12"/>
  <c r="C15" i="12" s="1"/>
  <c r="D12" i="12"/>
  <c r="E12" i="12"/>
  <c r="F12" i="12"/>
  <c r="B13" i="12"/>
  <c r="B15" i="12" s="1"/>
  <c r="C13" i="12"/>
  <c r="D13" i="12"/>
  <c r="E13" i="12"/>
  <c r="F13" i="12"/>
  <c r="B14" i="12"/>
  <c r="C14" i="12"/>
  <c r="D14" i="12"/>
  <c r="E14" i="12"/>
  <c r="F14" i="12"/>
  <c r="F15" i="12"/>
  <c r="E15" i="12"/>
  <c r="C9" i="12"/>
  <c r="D9" i="12"/>
  <c r="E9" i="12"/>
  <c r="F9" i="12"/>
  <c r="B9" i="12"/>
  <c r="A14" i="12"/>
  <c r="A13" i="12"/>
  <c r="A12" i="12"/>
  <c r="A11" i="12"/>
  <c r="B3" i="12"/>
  <c r="C3" i="12"/>
  <c r="D3" i="12"/>
  <c r="E3" i="12"/>
  <c r="F3" i="12"/>
  <c r="B4" i="12"/>
  <c r="C4" i="12"/>
  <c r="D4" i="12"/>
  <c r="E4" i="12"/>
  <c r="F4" i="12"/>
  <c r="B5" i="12"/>
  <c r="C5" i="12"/>
  <c r="D5" i="12"/>
  <c r="E5" i="12"/>
  <c r="F5" i="12"/>
  <c r="B6" i="12"/>
  <c r="C6" i="12"/>
  <c r="D6" i="12"/>
  <c r="E6" i="12"/>
  <c r="F6" i="12"/>
  <c r="B7" i="12"/>
  <c r="C7" i="12"/>
  <c r="D7" i="12"/>
  <c r="E7" i="12"/>
  <c r="F7" i="12"/>
  <c r="B8" i="12"/>
  <c r="C8" i="12"/>
  <c r="D8" i="12"/>
  <c r="E8" i="12"/>
  <c r="F8" i="12"/>
  <c r="A8" i="12"/>
  <c r="A7" i="12"/>
  <c r="A6" i="12"/>
  <c r="A5" i="12"/>
  <c r="A3" i="12"/>
  <c r="A4" i="12"/>
  <c r="C32" i="10"/>
  <c r="D32" i="10"/>
  <c r="E32" i="10"/>
  <c r="F32" i="10"/>
  <c r="C33" i="10"/>
  <c r="D33" i="10"/>
  <c r="E33" i="10"/>
  <c r="F33" i="10"/>
  <c r="B33" i="10"/>
  <c r="B32" i="10"/>
  <c r="H10" i="8"/>
  <c r="I10" i="8"/>
  <c r="G10" i="8"/>
  <c r="G54" i="8"/>
  <c r="H54" i="8"/>
  <c r="I54" i="8"/>
  <c r="J54" i="8"/>
  <c r="F54" i="8"/>
  <c r="E16" i="14" l="1"/>
  <c r="E15" i="14"/>
  <c r="E12" i="14"/>
  <c r="E13" i="14"/>
  <c r="J11" i="14"/>
  <c r="I11" i="14"/>
  <c r="F11" i="14"/>
  <c r="G11" i="14"/>
  <c r="B17" i="14"/>
  <c r="B16" i="14"/>
  <c r="B15" i="14"/>
  <c r="B38" i="11"/>
  <c r="B35" i="11"/>
  <c r="G12" i="8"/>
  <c r="H12" i="8"/>
  <c r="I12" i="8"/>
  <c r="J12" i="8"/>
  <c r="F12" i="8"/>
  <c r="D32" i="7"/>
  <c r="E32" i="7"/>
  <c r="D29" i="7"/>
  <c r="E29" i="7"/>
  <c r="F29" i="7"/>
  <c r="C29" i="7"/>
  <c r="A3" i="14" l="1"/>
  <c r="A14" i="11"/>
  <c r="E2" i="14" l="1"/>
  <c r="F2" i="14" s="1"/>
  <c r="G2" i="14" s="1"/>
  <c r="H2" i="14" s="1"/>
  <c r="I2" i="14" s="1"/>
  <c r="J2" i="14" s="1"/>
  <c r="K2" i="14" s="1"/>
  <c r="D2" i="14"/>
  <c r="C2" i="14"/>
  <c r="C18" i="10"/>
  <c r="D18" i="10"/>
  <c r="E18" i="10"/>
  <c r="F18" i="10"/>
  <c r="B18" i="10"/>
  <c r="K19" i="10"/>
  <c r="C21" i="12"/>
  <c r="D21" i="12"/>
  <c r="E21" i="12"/>
  <c r="F21" i="12"/>
  <c r="C22" i="12"/>
  <c r="D22" i="12"/>
  <c r="E22" i="12"/>
  <c r="F22" i="12"/>
  <c r="B22" i="12"/>
  <c r="B21" i="12"/>
  <c r="C20" i="12"/>
  <c r="D20" i="12" s="1"/>
  <c r="E20" i="12" s="1"/>
  <c r="F20" i="12" s="1"/>
  <c r="G20" i="12" s="1"/>
  <c r="H20" i="12" s="1"/>
  <c r="I20" i="12" s="1"/>
  <c r="J20" i="12" s="1"/>
  <c r="K20" i="12" s="1"/>
  <c r="C2" i="12"/>
  <c r="D2" i="12" s="1"/>
  <c r="E2" i="12" s="1"/>
  <c r="F2" i="12" s="1"/>
  <c r="G2" i="12" s="1"/>
  <c r="H2" i="12" s="1"/>
  <c r="I2" i="12" s="1"/>
  <c r="J2" i="12" s="1"/>
  <c r="K2" i="12" s="1"/>
  <c r="C25" i="10"/>
  <c r="D25" i="10" s="1"/>
  <c r="E25" i="10" s="1"/>
  <c r="F25" i="10" s="1"/>
  <c r="G25" i="10" s="1"/>
  <c r="H25" i="10" s="1"/>
  <c r="I25" i="10" s="1"/>
  <c r="J25" i="10" s="1"/>
  <c r="K25" i="10" s="1"/>
  <c r="C4" i="11"/>
  <c r="D4" i="11"/>
  <c r="E4" i="11"/>
  <c r="F4" i="11"/>
  <c r="B4" i="11"/>
  <c r="C9" i="11"/>
  <c r="D9" i="11" s="1"/>
  <c r="E9" i="11" s="1"/>
  <c r="F9" i="11" s="1"/>
  <c r="G9" i="11" s="1"/>
  <c r="H9" i="11" s="1"/>
  <c r="I9" i="11" s="1"/>
  <c r="J9" i="11" s="1"/>
  <c r="K9" i="11" s="1"/>
  <c r="C2" i="11"/>
  <c r="D2" i="11" s="1"/>
  <c r="E2" i="11" s="1"/>
  <c r="F2" i="11" s="1"/>
  <c r="G2" i="11" s="1"/>
  <c r="H2" i="11" s="1"/>
  <c r="I2" i="11" s="1"/>
  <c r="J2" i="11" s="1"/>
  <c r="K2" i="11" s="1"/>
  <c r="F13" i="10"/>
  <c r="E13" i="10"/>
  <c r="D13" i="10"/>
  <c r="C13" i="10"/>
  <c r="B13" i="10"/>
  <c r="F10" i="10"/>
  <c r="E10" i="10"/>
  <c r="D10" i="10"/>
  <c r="C10" i="10"/>
  <c r="B10" i="10"/>
  <c r="F8" i="10"/>
  <c r="E8" i="10"/>
  <c r="D8" i="10"/>
  <c r="C8" i="10"/>
  <c r="B8" i="10"/>
  <c r="F7" i="10"/>
  <c r="E7" i="10"/>
  <c r="D7" i="10"/>
  <c r="C7" i="10"/>
  <c r="B7" i="10"/>
  <c r="F4" i="10"/>
  <c r="E4" i="10"/>
  <c r="D4" i="10"/>
  <c r="C4" i="10"/>
  <c r="B4" i="10"/>
  <c r="F3" i="10"/>
  <c r="E3" i="10"/>
  <c r="D3" i="10"/>
  <c r="C3" i="10"/>
  <c r="B3" i="10"/>
  <c r="C2" i="10"/>
  <c r="D2" i="10" s="1"/>
  <c r="E2" i="10" s="1"/>
  <c r="F2" i="10" s="1"/>
  <c r="G2" i="10" s="1"/>
  <c r="H2" i="10" s="1"/>
  <c r="I2" i="10" s="1"/>
  <c r="J2" i="10" s="1"/>
  <c r="K2" i="10" s="1"/>
  <c r="B11" i="6"/>
  <c r="C9" i="6"/>
  <c r="C11" i="6" s="1"/>
  <c r="D9" i="6"/>
  <c r="D11" i="6" s="1"/>
  <c r="E9" i="6"/>
  <c r="E11" i="6" s="1"/>
  <c r="F9" i="6"/>
  <c r="F11" i="6" s="1"/>
  <c r="B9" i="6"/>
  <c r="D5" i="10" l="1"/>
  <c r="C26" i="10"/>
  <c r="D9" i="10"/>
  <c r="D11" i="10" s="1"/>
  <c r="D30" i="10" s="1"/>
  <c r="D14" i="10" s="1"/>
  <c r="E5" i="10"/>
  <c r="E9" i="10" s="1"/>
  <c r="E11" i="10" s="1"/>
  <c r="E30" i="10" s="1"/>
  <c r="F26" i="10"/>
  <c r="B5" i="10"/>
  <c r="B9" i="10" s="1"/>
  <c r="E28" i="10"/>
  <c r="E26" i="10"/>
  <c r="C5" i="10"/>
  <c r="C9" i="10" s="1"/>
  <c r="B28" i="10"/>
  <c r="C28" i="10"/>
  <c r="D26" i="10"/>
  <c r="F28" i="10"/>
  <c r="D28" i="10"/>
  <c r="F5" i="10"/>
  <c r="F9" i="10" s="1"/>
  <c r="D15" i="10" l="1"/>
  <c r="D16" i="10" s="1"/>
  <c r="D17" i="10" s="1"/>
  <c r="D21" i="10" s="1"/>
  <c r="D3" i="14" s="1"/>
  <c r="D29" i="10"/>
  <c r="E29" i="10"/>
  <c r="E14" i="10"/>
  <c r="E15" i="10"/>
  <c r="F11" i="10"/>
  <c r="F30" i="10" s="1"/>
  <c r="F29" i="10"/>
  <c r="C11" i="10"/>
  <c r="C30" i="10" s="1"/>
  <c r="C29" i="10"/>
  <c r="B11" i="10"/>
  <c r="B30" i="10" s="1"/>
  <c r="B29" i="10"/>
  <c r="C2" i="6"/>
  <c r="D2" i="6" s="1"/>
  <c r="E2" i="6" s="1"/>
  <c r="F2" i="6" s="1"/>
  <c r="G2" i="8"/>
  <c r="H2" i="8" s="1"/>
  <c r="I2" i="8" s="1"/>
  <c r="J2" i="8" s="1"/>
  <c r="E14" i="8"/>
  <c r="E11" i="8"/>
  <c r="E5" i="8"/>
  <c r="G7" i="10" s="1"/>
  <c r="H7" i="10" s="1"/>
  <c r="I7" i="10" s="1"/>
  <c r="J7" i="10" s="1"/>
  <c r="K7" i="10" s="1"/>
  <c r="H32" i="6" l="1"/>
  <c r="H19" i="6" s="1"/>
  <c r="H20" i="6" s="1"/>
  <c r="B29" i="11"/>
  <c r="E16" i="10"/>
  <c r="E17" i="10" s="1"/>
  <c r="E21" i="10" s="1"/>
  <c r="E3" i="14" s="1"/>
  <c r="C15" i="10"/>
  <c r="C14" i="10"/>
  <c r="F15" i="10"/>
  <c r="F14" i="10"/>
  <c r="K32" i="6"/>
  <c r="K19" i="6" s="1"/>
  <c r="K20" i="6" s="1"/>
  <c r="J32" i="6"/>
  <c r="J19" i="6" s="1"/>
  <c r="J20" i="6" s="1"/>
  <c r="I32" i="6"/>
  <c r="I19" i="6" s="1"/>
  <c r="I20" i="6" s="1"/>
  <c r="G32" i="6"/>
  <c r="G19" i="6" s="1"/>
  <c r="G20" i="6" s="1"/>
  <c r="C2" i="7"/>
  <c r="D2" i="7" s="1"/>
  <c r="E2" i="7" s="1"/>
  <c r="F2" i="7" s="1"/>
  <c r="G2" i="7" s="1"/>
  <c r="H2" i="7" s="1"/>
  <c r="I2" i="7" s="1"/>
  <c r="J2" i="7" s="1"/>
  <c r="K2" i="7" s="1"/>
  <c r="F23" i="2"/>
  <c r="C3" i="6"/>
  <c r="D3" i="6"/>
  <c r="E3" i="6"/>
  <c r="F3" i="6"/>
  <c r="C4" i="6"/>
  <c r="D4" i="6"/>
  <c r="E4" i="6"/>
  <c r="F4" i="6"/>
  <c r="C7" i="6"/>
  <c r="D7" i="6"/>
  <c r="E7" i="6"/>
  <c r="F7" i="6"/>
  <c r="C10" i="6"/>
  <c r="D10" i="6"/>
  <c r="E10" i="6"/>
  <c r="F10" i="6"/>
  <c r="C8" i="6"/>
  <c r="D8" i="6"/>
  <c r="H7" i="8" s="1"/>
  <c r="E8" i="6"/>
  <c r="I7" i="8" s="1"/>
  <c r="F8" i="6"/>
  <c r="C13" i="6"/>
  <c r="D13" i="6"/>
  <c r="E13" i="6"/>
  <c r="F13" i="6"/>
  <c r="C21" i="6"/>
  <c r="D21" i="6"/>
  <c r="E21" i="6"/>
  <c r="F21" i="6"/>
  <c r="C24" i="6"/>
  <c r="D24" i="6"/>
  <c r="E24" i="6"/>
  <c r="F24" i="6"/>
  <c r="C25" i="6"/>
  <c r="D25" i="6"/>
  <c r="D14" i="6" s="1"/>
  <c r="E25" i="6"/>
  <c r="F25" i="6"/>
  <c r="F14" i="6" s="1"/>
  <c r="C32" i="6"/>
  <c r="C19" i="6" s="1"/>
  <c r="D32" i="6"/>
  <c r="D19" i="6" s="1"/>
  <c r="F32" i="6"/>
  <c r="B25" i="6"/>
  <c r="B21" i="6"/>
  <c r="B24" i="6"/>
  <c r="C22" i="2"/>
  <c r="D22" i="2"/>
  <c r="E22" i="2"/>
  <c r="F22" i="2"/>
  <c r="B22" i="2"/>
  <c r="B13" i="6" s="1"/>
  <c r="C15" i="2"/>
  <c r="D15" i="2"/>
  <c r="E15" i="2"/>
  <c r="F15" i="2"/>
  <c r="B15" i="2"/>
  <c r="C8" i="2"/>
  <c r="C16" i="2" s="1"/>
  <c r="C18" i="2" s="1"/>
  <c r="D8" i="2"/>
  <c r="D16" i="2" s="1"/>
  <c r="D18" i="2" s="1"/>
  <c r="E8" i="2"/>
  <c r="E16" i="2" s="1"/>
  <c r="E18" i="2" s="1"/>
  <c r="F8" i="2"/>
  <c r="F16" i="2" s="1"/>
  <c r="F18" i="2" s="1"/>
  <c r="C6" i="2"/>
  <c r="D6" i="2"/>
  <c r="E6" i="2"/>
  <c r="F6" i="2"/>
  <c r="B6" i="2"/>
  <c r="B8" i="2" s="1"/>
  <c r="B16" i="2" s="1"/>
  <c r="B18" i="2" s="1"/>
  <c r="B23" i="2" s="1"/>
  <c r="B24" i="2" s="1"/>
  <c r="B25" i="2" s="1"/>
  <c r="B27" i="2" s="1"/>
  <c r="B8" i="6"/>
  <c r="B10" i="6"/>
  <c r="B7" i="6"/>
  <c r="B4" i="6"/>
  <c r="C20" i="5"/>
  <c r="D20" i="5"/>
  <c r="E20" i="5"/>
  <c r="F20" i="5"/>
  <c r="B20" i="5"/>
  <c r="C43" i="1"/>
  <c r="D43" i="1"/>
  <c r="E43" i="1"/>
  <c r="E44" i="1" s="1"/>
  <c r="F43" i="1"/>
  <c r="F44" i="1" s="1"/>
  <c r="B43" i="1"/>
  <c r="C34" i="1"/>
  <c r="C35" i="1" s="1"/>
  <c r="C44" i="1" s="1"/>
  <c r="D34" i="1"/>
  <c r="D35" i="1" s="1"/>
  <c r="D44" i="1" s="1"/>
  <c r="E34" i="1"/>
  <c r="E35" i="1" s="1"/>
  <c r="F34" i="1"/>
  <c r="F35" i="1" s="1"/>
  <c r="B34" i="1"/>
  <c r="C29" i="1"/>
  <c r="D29" i="1"/>
  <c r="E29" i="1"/>
  <c r="F29" i="1"/>
  <c r="B29" i="1"/>
  <c r="B35" i="1" s="1"/>
  <c r="C22" i="1"/>
  <c r="D22" i="1"/>
  <c r="E22" i="1"/>
  <c r="F22" i="1"/>
  <c r="B22" i="1"/>
  <c r="C16" i="1"/>
  <c r="D16" i="1"/>
  <c r="E16" i="1"/>
  <c r="F16" i="1"/>
  <c r="B16" i="1"/>
  <c r="C8" i="1"/>
  <c r="D8" i="1"/>
  <c r="E8" i="1"/>
  <c r="F8" i="1"/>
  <c r="B8" i="1"/>
  <c r="C6" i="1"/>
  <c r="D6" i="1"/>
  <c r="E6" i="1"/>
  <c r="F6" i="1"/>
  <c r="B6" i="1"/>
  <c r="C11" i="5"/>
  <c r="D11" i="5"/>
  <c r="E11" i="5"/>
  <c r="F11" i="5"/>
  <c r="B11" i="5"/>
  <c r="C5" i="5"/>
  <c r="D5" i="5"/>
  <c r="E5" i="5"/>
  <c r="F5" i="5"/>
  <c r="C6" i="5"/>
  <c r="D6" i="5"/>
  <c r="E6" i="5"/>
  <c r="F6" i="5"/>
  <c r="C7" i="5"/>
  <c r="D7" i="5"/>
  <c r="E7" i="5"/>
  <c r="F7" i="5"/>
  <c r="C8" i="5"/>
  <c r="D8" i="5"/>
  <c r="E8" i="5"/>
  <c r="F8" i="5"/>
  <c r="C9" i="5"/>
  <c r="D9" i="5"/>
  <c r="E9" i="5"/>
  <c r="F9" i="5"/>
  <c r="C10" i="5"/>
  <c r="D10" i="5"/>
  <c r="E10" i="5"/>
  <c r="F10" i="5"/>
  <c r="C15" i="5"/>
  <c r="D15" i="5"/>
  <c r="D24" i="7" s="1"/>
  <c r="E15" i="5"/>
  <c r="F15" i="5"/>
  <c r="C16" i="5"/>
  <c r="D16" i="5"/>
  <c r="E16" i="5"/>
  <c r="F16" i="5"/>
  <c r="C17" i="5"/>
  <c r="D17" i="5"/>
  <c r="E17" i="5"/>
  <c r="F17" i="5"/>
  <c r="C18" i="5"/>
  <c r="D18" i="5"/>
  <c r="E18" i="5"/>
  <c r="F18" i="5"/>
  <c r="C19" i="5"/>
  <c r="D19" i="5"/>
  <c r="E19" i="5"/>
  <c r="F19" i="5"/>
  <c r="C24" i="5"/>
  <c r="G13" i="8" s="1"/>
  <c r="D24" i="5"/>
  <c r="H13" i="8" s="1"/>
  <c r="E24" i="5"/>
  <c r="I13" i="8" s="1"/>
  <c r="F24" i="5"/>
  <c r="J13" i="8" s="1"/>
  <c r="C25" i="5"/>
  <c r="D25" i="5"/>
  <c r="E25" i="5"/>
  <c r="F25" i="5"/>
  <c r="C26" i="5"/>
  <c r="D26" i="5"/>
  <c r="E26" i="5"/>
  <c r="F26" i="5"/>
  <c r="C27" i="5"/>
  <c r="D27" i="5"/>
  <c r="E27" i="5"/>
  <c r="F27" i="5"/>
  <c r="C31" i="5"/>
  <c r="D31" i="5"/>
  <c r="E31" i="5"/>
  <c r="F31" i="5"/>
  <c r="C32" i="5"/>
  <c r="D32" i="5"/>
  <c r="E32" i="5"/>
  <c r="F32" i="5"/>
  <c r="C36" i="5"/>
  <c r="D36" i="5"/>
  <c r="E36" i="5"/>
  <c r="F36" i="5"/>
  <c r="C37" i="5"/>
  <c r="D37" i="5"/>
  <c r="D25" i="7" s="1"/>
  <c r="E37" i="5"/>
  <c r="F37" i="5"/>
  <c r="C39" i="5"/>
  <c r="D39" i="5"/>
  <c r="E39" i="5"/>
  <c r="F39" i="5"/>
  <c r="C58" i="1"/>
  <c r="C4" i="5" s="1"/>
  <c r="D58" i="1"/>
  <c r="D4" i="5" s="1"/>
  <c r="E58" i="1"/>
  <c r="E4" i="5" s="1"/>
  <c r="F58" i="1"/>
  <c r="F4" i="5" s="1"/>
  <c r="B58" i="1"/>
  <c r="B4" i="5" s="1"/>
  <c r="B3" i="11" s="1"/>
  <c r="B10" i="11" s="1"/>
  <c r="B39" i="5"/>
  <c r="B37" i="5"/>
  <c r="B36" i="5"/>
  <c r="B32" i="5"/>
  <c r="B31" i="5"/>
  <c r="B27" i="5"/>
  <c r="B25" i="5"/>
  <c r="B24" i="5"/>
  <c r="F13" i="8" s="1"/>
  <c r="E13" i="8" s="1"/>
  <c r="B26" i="5"/>
  <c r="C12" i="7" s="1"/>
  <c r="B19" i="5"/>
  <c r="B18" i="5"/>
  <c r="B17" i="5"/>
  <c r="B16" i="5"/>
  <c r="B15" i="5"/>
  <c r="B10" i="5"/>
  <c r="B9" i="5"/>
  <c r="B8" i="5"/>
  <c r="B7" i="5"/>
  <c r="B6" i="5"/>
  <c r="B5" i="5"/>
  <c r="G2" i="6"/>
  <c r="H2" i="6" s="1"/>
  <c r="I2" i="6" s="1"/>
  <c r="J2" i="6" s="1"/>
  <c r="K2" i="6" s="1"/>
  <c r="C2" i="5"/>
  <c r="D2" i="5" s="1"/>
  <c r="E2" i="5" s="1"/>
  <c r="F2" i="5" s="1"/>
  <c r="G2" i="5" s="1"/>
  <c r="H2" i="5" s="1"/>
  <c r="I2" i="5" s="1"/>
  <c r="J2" i="5" s="1"/>
  <c r="K2" i="5" s="1"/>
  <c r="C2" i="1"/>
  <c r="D2" i="1" s="1"/>
  <c r="E2" i="1" s="1"/>
  <c r="F2" i="1" s="1"/>
  <c r="E20" i="7" l="1"/>
  <c r="E21" i="7" s="1"/>
  <c r="D26" i="7"/>
  <c r="J11" i="8"/>
  <c r="F20" i="7"/>
  <c r="F21" i="7" s="1"/>
  <c r="C25" i="7"/>
  <c r="C24" i="7"/>
  <c r="C26" i="7" s="1"/>
  <c r="I11" i="8"/>
  <c r="D7" i="7"/>
  <c r="C20" i="7"/>
  <c r="C21" i="7" s="1"/>
  <c r="E3" i="11"/>
  <c r="E10" i="11" s="1"/>
  <c r="D6" i="11"/>
  <c r="D5" i="11" s="1"/>
  <c r="E25" i="7"/>
  <c r="E7" i="7"/>
  <c r="E24" i="7"/>
  <c r="F11" i="7"/>
  <c r="C6" i="11"/>
  <c r="D3" i="11"/>
  <c r="D10" i="11" s="1"/>
  <c r="E11" i="7"/>
  <c r="E12" i="8"/>
  <c r="G25" i="6" s="1"/>
  <c r="C3" i="11"/>
  <c r="C10" i="11" s="1"/>
  <c r="B6" i="11"/>
  <c r="B5" i="11" s="1"/>
  <c r="D11" i="7"/>
  <c r="B21" i="5"/>
  <c r="E12" i="7"/>
  <c r="D8" i="7"/>
  <c r="E10" i="7"/>
  <c r="C10" i="7"/>
  <c r="C32" i="7"/>
  <c r="D20" i="7"/>
  <c r="D21" i="7" s="1"/>
  <c r="F8" i="7"/>
  <c r="F12" i="7"/>
  <c r="C8" i="7"/>
  <c r="D10" i="7"/>
  <c r="C11" i="7"/>
  <c r="C7" i="7"/>
  <c r="E8" i="7"/>
  <c r="F10" i="7"/>
  <c r="D12" i="7"/>
  <c r="E6" i="11"/>
  <c r="F3" i="11"/>
  <c r="F10" i="11" s="1"/>
  <c r="F25" i="7"/>
  <c r="F7" i="7"/>
  <c r="F24" i="7"/>
  <c r="C16" i="10"/>
  <c r="C17" i="10" s="1"/>
  <c r="C21" i="10" s="1"/>
  <c r="C3" i="14" s="1"/>
  <c r="F16" i="10"/>
  <c r="F17" i="10" s="1"/>
  <c r="J5" i="8"/>
  <c r="G7" i="8"/>
  <c r="J34" i="8"/>
  <c r="I34" i="8"/>
  <c r="H34" i="8"/>
  <c r="G34" i="8"/>
  <c r="G6" i="8"/>
  <c r="C15" i="6"/>
  <c r="G11" i="8"/>
  <c r="E5" i="6"/>
  <c r="I4" i="8"/>
  <c r="G9" i="8"/>
  <c r="C20" i="6"/>
  <c r="D15" i="6"/>
  <c r="D16" i="6" s="1"/>
  <c r="H11" i="8"/>
  <c r="G5" i="8"/>
  <c r="G18" i="8"/>
  <c r="G21" i="8"/>
  <c r="G23" i="8"/>
  <c r="G30" i="8"/>
  <c r="G32" i="8"/>
  <c r="G39" i="8"/>
  <c r="G41" i="8"/>
  <c r="G46" i="8"/>
  <c r="G51" i="8"/>
  <c r="G20" i="8"/>
  <c r="G22" i="8"/>
  <c r="G24" i="8"/>
  <c r="G31" i="8"/>
  <c r="G33" i="8"/>
  <c r="G40" i="8"/>
  <c r="G42" i="8"/>
  <c r="G47" i="8"/>
  <c r="G52" i="8"/>
  <c r="G60" i="8"/>
  <c r="G25" i="8"/>
  <c r="B26" i="6"/>
  <c r="F11" i="8"/>
  <c r="D5" i="7"/>
  <c r="H6" i="8"/>
  <c r="D5" i="6"/>
  <c r="H4" i="8"/>
  <c r="C5" i="7"/>
  <c r="C5" i="6"/>
  <c r="G4" i="8"/>
  <c r="C26" i="6"/>
  <c r="C27" i="6" s="1"/>
  <c r="J4" i="8"/>
  <c r="E5" i="7"/>
  <c r="I6" i="8"/>
  <c r="J7" i="8"/>
  <c r="F5" i="6"/>
  <c r="J41" i="8"/>
  <c r="I3" i="8"/>
  <c r="J25" i="8"/>
  <c r="J18" i="8"/>
  <c r="J23" i="8"/>
  <c r="J32" i="8"/>
  <c r="J21" i="8"/>
  <c r="J30" i="8"/>
  <c r="J39" i="8"/>
  <c r="J51" i="8"/>
  <c r="J20" i="8"/>
  <c r="J22" i="8"/>
  <c r="J24" i="8"/>
  <c r="J31" i="8"/>
  <c r="J33" i="8"/>
  <c r="J40" i="8"/>
  <c r="J42" i="8"/>
  <c r="J47" i="8"/>
  <c r="J52" i="8"/>
  <c r="J60" i="8"/>
  <c r="J46" i="8"/>
  <c r="G21" i="6"/>
  <c r="H21" i="6" s="1"/>
  <c r="I21" i="6" s="1"/>
  <c r="J21" i="6" s="1"/>
  <c r="K21" i="6" s="1"/>
  <c r="F5" i="7"/>
  <c r="J6" i="8"/>
  <c r="F15" i="6"/>
  <c r="F16" i="6" s="1"/>
  <c r="F19" i="6"/>
  <c r="I5" i="8"/>
  <c r="I25" i="8"/>
  <c r="I31" i="8"/>
  <c r="I33" i="8"/>
  <c r="I47" i="8"/>
  <c r="I60" i="8"/>
  <c r="I22" i="8"/>
  <c r="I42" i="8"/>
  <c r="I18" i="8"/>
  <c r="I21" i="8"/>
  <c r="I23" i="8"/>
  <c r="I30" i="8"/>
  <c r="I32" i="8"/>
  <c r="I39" i="8"/>
  <c r="I41" i="8"/>
  <c r="I46" i="8"/>
  <c r="I51" i="8"/>
  <c r="I24" i="8"/>
  <c r="I52" i="8"/>
  <c r="H3" i="8"/>
  <c r="I20" i="8"/>
  <c r="I40" i="8"/>
  <c r="G24" i="6"/>
  <c r="H9" i="8"/>
  <c r="D20" i="6"/>
  <c r="C14" i="6"/>
  <c r="H5" i="8"/>
  <c r="H18" i="8"/>
  <c r="H21" i="8"/>
  <c r="H23" i="8"/>
  <c r="H30" i="8"/>
  <c r="H32" i="8"/>
  <c r="H39" i="8"/>
  <c r="H41" i="8"/>
  <c r="H46" i="8"/>
  <c r="H51" i="8"/>
  <c r="G3" i="8"/>
  <c r="H20" i="8"/>
  <c r="H22" i="8"/>
  <c r="H24" i="8"/>
  <c r="H31" i="8"/>
  <c r="H33" i="8"/>
  <c r="H40" i="8"/>
  <c r="H42" i="8"/>
  <c r="H47" i="8"/>
  <c r="H52" i="8"/>
  <c r="H60" i="8"/>
  <c r="H25" i="8"/>
  <c r="G7" i="6"/>
  <c r="J19" i="8"/>
  <c r="I19" i="8"/>
  <c r="F9" i="7"/>
  <c r="H19" i="8"/>
  <c r="E9" i="7"/>
  <c r="G19" i="8"/>
  <c r="D9" i="7"/>
  <c r="C9" i="7"/>
  <c r="D21" i="5"/>
  <c r="C21" i="5"/>
  <c r="E21" i="5"/>
  <c r="F21" i="5"/>
  <c r="E23" i="2"/>
  <c r="E24" i="2" s="1"/>
  <c r="E25" i="2" s="1"/>
  <c r="E27" i="2" s="1"/>
  <c r="E26" i="6"/>
  <c r="D26" i="6"/>
  <c r="F26" i="6"/>
  <c r="C28" i="6"/>
  <c r="C30" i="6" s="1"/>
  <c r="B44" i="1"/>
  <c r="F24" i="2"/>
  <c r="F25" i="2" s="1"/>
  <c r="F27" i="2" s="1"/>
  <c r="F37" i="2"/>
  <c r="D23" i="2"/>
  <c r="D24" i="2" s="1"/>
  <c r="D25" i="2" s="1"/>
  <c r="D27" i="2" s="1"/>
  <c r="D37" i="2"/>
  <c r="C37" i="2"/>
  <c r="C23" i="2"/>
  <c r="C24" i="2" s="1"/>
  <c r="C25" i="2" s="1"/>
  <c r="C27" i="2" s="1"/>
  <c r="E37" i="2"/>
  <c r="E32" i="6" s="1"/>
  <c r="B3" i="6"/>
  <c r="F5" i="8" s="1"/>
  <c r="B37" i="2"/>
  <c r="B32" i="6" s="1"/>
  <c r="B19" i="6" s="1"/>
  <c r="F12" i="5"/>
  <c r="E12" i="5"/>
  <c r="B40" i="5"/>
  <c r="B44" i="5" s="1"/>
  <c r="E9" i="1"/>
  <c r="D9" i="1"/>
  <c r="B33" i="5"/>
  <c r="D40" i="5"/>
  <c r="D44" i="5" s="1"/>
  <c r="D33" i="5"/>
  <c r="C33" i="5"/>
  <c r="D12" i="5"/>
  <c r="B12" i="5"/>
  <c r="B42" i="5" s="1"/>
  <c r="B9" i="1"/>
  <c r="B23" i="1" s="1"/>
  <c r="C12" i="5"/>
  <c r="C9" i="1"/>
  <c r="F33" i="5"/>
  <c r="C40" i="5"/>
  <c r="C44" i="5" s="1"/>
  <c r="F40" i="5"/>
  <c r="F44" i="5" s="1"/>
  <c r="B28" i="5"/>
  <c r="B43" i="5" s="1"/>
  <c r="E33" i="5"/>
  <c r="E40" i="5"/>
  <c r="E44" i="5" s="1"/>
  <c r="F9" i="1"/>
  <c r="F28" i="5"/>
  <c r="F43" i="5" s="1"/>
  <c r="E28" i="5"/>
  <c r="E43" i="5" s="1"/>
  <c r="D28" i="5"/>
  <c r="D43" i="5" s="1"/>
  <c r="C28" i="5"/>
  <c r="C43" i="5" s="1"/>
  <c r="E13" i="7" l="1"/>
  <c r="E5" i="11"/>
  <c r="D13" i="7"/>
  <c r="E46" i="5"/>
  <c r="C13" i="7"/>
  <c r="C5" i="11"/>
  <c r="B11" i="11"/>
  <c r="B19" i="10"/>
  <c r="D19" i="10"/>
  <c r="D11" i="11"/>
  <c r="E11" i="11"/>
  <c r="E19" i="10"/>
  <c r="F13" i="7"/>
  <c r="F26" i="7"/>
  <c r="E26" i="7"/>
  <c r="F6" i="8"/>
  <c r="E6" i="8" s="1"/>
  <c r="I57" i="8"/>
  <c r="J58" i="8"/>
  <c r="C16" i="6"/>
  <c r="G58" i="8"/>
  <c r="F34" i="8"/>
  <c r="E34" i="8" s="1"/>
  <c r="G19" i="5" s="1"/>
  <c r="I58" i="8"/>
  <c r="J57" i="8"/>
  <c r="F4" i="8"/>
  <c r="E4" i="8" s="1"/>
  <c r="H57" i="8"/>
  <c r="F7" i="8"/>
  <c r="E7" i="8" s="1"/>
  <c r="G14" i="6"/>
  <c r="H25" i="6"/>
  <c r="F58" i="8"/>
  <c r="F3" i="8"/>
  <c r="E3" i="8" s="1"/>
  <c r="G26" i="6"/>
  <c r="G27" i="6" s="1"/>
  <c r="G28" i="6" s="1"/>
  <c r="G30" i="6" s="1"/>
  <c r="H24" i="6"/>
  <c r="G15" i="6"/>
  <c r="I59" i="8"/>
  <c r="D17" i="6"/>
  <c r="H59" i="8"/>
  <c r="B5" i="6"/>
  <c r="F19" i="8"/>
  <c r="E19" i="8" s="1"/>
  <c r="G5" i="5" s="1"/>
  <c r="G4" i="12" s="1"/>
  <c r="G53" i="8"/>
  <c r="F60" i="8"/>
  <c r="E60" i="8" s="1"/>
  <c r="F51" i="8"/>
  <c r="E51" i="8" s="1"/>
  <c r="G36" i="5" s="1"/>
  <c r="F32" i="8"/>
  <c r="E32" i="8" s="1"/>
  <c r="G17" i="5" s="1"/>
  <c r="G12" i="12" s="1"/>
  <c r="F18" i="8"/>
  <c r="E18" i="8" s="1"/>
  <c r="G4" i="5" s="1"/>
  <c r="F42" i="8"/>
  <c r="E42" i="8" s="1"/>
  <c r="G27" i="5" s="1"/>
  <c r="G3" i="12" s="1"/>
  <c r="H53" i="8"/>
  <c r="F47" i="8"/>
  <c r="E47" i="8" s="1"/>
  <c r="G32" i="5" s="1"/>
  <c r="F31" i="8"/>
  <c r="E31" i="8" s="1"/>
  <c r="G16" i="5" s="1"/>
  <c r="H16" i="5" s="1"/>
  <c r="I16" i="5" s="1"/>
  <c r="J16" i="5" s="1"/>
  <c r="K16" i="5" s="1"/>
  <c r="J53" i="8"/>
  <c r="F57" i="8"/>
  <c r="F21" i="8"/>
  <c r="E21" i="8" s="1"/>
  <c r="G7" i="5" s="1"/>
  <c r="F25" i="8"/>
  <c r="E25" i="8" s="1"/>
  <c r="G11" i="5" s="1"/>
  <c r="H11" i="5" s="1"/>
  <c r="I11" i="5" s="1"/>
  <c r="J11" i="5" s="1"/>
  <c r="K11" i="5" s="1"/>
  <c r="I53" i="8"/>
  <c r="F46" i="8"/>
  <c r="E46" i="8" s="1"/>
  <c r="F30" i="8"/>
  <c r="E30" i="8" s="1"/>
  <c r="G15" i="5" s="1"/>
  <c r="F24" i="8"/>
  <c r="E24" i="8" s="1"/>
  <c r="G10" i="5" s="1"/>
  <c r="H10" i="5" s="1"/>
  <c r="I10" i="5" s="1"/>
  <c r="J10" i="5" s="1"/>
  <c r="K10" i="5" s="1"/>
  <c r="F53" i="8"/>
  <c r="F41" i="8"/>
  <c r="E41" i="8" s="1"/>
  <c r="G26" i="5" s="1"/>
  <c r="F23" i="8"/>
  <c r="E23" i="8" s="1"/>
  <c r="G9" i="5" s="1"/>
  <c r="G8" i="12" s="1"/>
  <c r="F52" i="8"/>
  <c r="E52" i="8" s="1"/>
  <c r="F40" i="8"/>
  <c r="E40" i="8" s="1"/>
  <c r="G25" i="5" s="1"/>
  <c r="H25" i="5" s="1"/>
  <c r="I25" i="5" s="1"/>
  <c r="J25" i="5" s="1"/>
  <c r="K25" i="5" s="1"/>
  <c r="F22" i="8"/>
  <c r="E22" i="8" s="1"/>
  <c r="G8" i="5" s="1"/>
  <c r="F39" i="8"/>
  <c r="E39" i="8" s="1"/>
  <c r="G24" i="5" s="1"/>
  <c r="F33" i="8"/>
  <c r="E33" i="8" s="1"/>
  <c r="G18" i="5" s="1"/>
  <c r="G13" i="12" s="1"/>
  <c r="F20" i="8"/>
  <c r="E20" i="8" s="1"/>
  <c r="G6" i="5" s="1"/>
  <c r="G5" i="12" s="1"/>
  <c r="H7" i="6"/>
  <c r="F20" i="6"/>
  <c r="J9" i="8"/>
  <c r="H58" i="8"/>
  <c r="G57" i="8"/>
  <c r="G59" i="8"/>
  <c r="F9" i="8"/>
  <c r="E9" i="8" s="1"/>
  <c r="B20" i="6"/>
  <c r="E14" i="6"/>
  <c r="E19" i="6"/>
  <c r="J59" i="8"/>
  <c r="E49" i="5"/>
  <c r="E15" i="6"/>
  <c r="E27" i="6"/>
  <c r="E28" i="6" s="1"/>
  <c r="E30" i="6" s="1"/>
  <c r="F27" i="6"/>
  <c r="F28" i="6" s="1"/>
  <c r="F30" i="6" s="1"/>
  <c r="D27" i="6"/>
  <c r="D28" i="6" s="1"/>
  <c r="D30" i="6" s="1"/>
  <c r="B14" i="6"/>
  <c r="B15" i="6"/>
  <c r="B27" i="6"/>
  <c r="B28" i="6" s="1"/>
  <c r="B30" i="6" s="1"/>
  <c r="D46" i="5"/>
  <c r="D49" i="5" s="1"/>
  <c r="C42" i="5"/>
  <c r="C45" i="5"/>
  <c r="D42" i="5"/>
  <c r="D45" i="5"/>
  <c r="C46" i="5"/>
  <c r="C49" i="5" s="1"/>
  <c r="F42" i="5"/>
  <c r="F45" i="5"/>
  <c r="F46" i="5"/>
  <c r="F49" i="5" s="1"/>
  <c r="E45" i="5"/>
  <c r="E42" i="5"/>
  <c r="B45" i="5"/>
  <c r="B48" i="5" s="1"/>
  <c r="B46" i="5"/>
  <c r="B49" i="5" s="1"/>
  <c r="G31" i="5" l="1"/>
  <c r="G12" i="1"/>
  <c r="G16" i="1" s="1"/>
  <c r="G28" i="5"/>
  <c r="H32" i="5"/>
  <c r="G11" i="12"/>
  <c r="G3" i="6"/>
  <c r="G21" i="12" s="1"/>
  <c r="G3" i="10"/>
  <c r="G10" i="6"/>
  <c r="G10" i="10"/>
  <c r="H10" i="10" s="1"/>
  <c r="I10" i="10" s="1"/>
  <c r="J10" i="10" s="1"/>
  <c r="K10" i="10" s="1"/>
  <c r="H19" i="5"/>
  <c r="G14" i="12"/>
  <c r="G15" i="12" s="1"/>
  <c r="G37" i="5"/>
  <c r="G5" i="1"/>
  <c r="G6" i="1" s="1"/>
  <c r="G6" i="12"/>
  <c r="G9" i="12" s="1"/>
  <c r="G17" i="12" s="1"/>
  <c r="G20" i="10" s="1"/>
  <c r="F32" i="7"/>
  <c r="G29" i="7"/>
  <c r="G8" i="6"/>
  <c r="H8" i="6" s="1"/>
  <c r="I8" i="6" s="1"/>
  <c r="J8" i="6" s="1"/>
  <c r="K8" i="6" s="1"/>
  <c r="G8" i="10"/>
  <c r="H8" i="10" s="1"/>
  <c r="I8" i="10" s="1"/>
  <c r="J8" i="10" s="1"/>
  <c r="K8" i="10" s="1"/>
  <c r="G4" i="6"/>
  <c r="G22" i="12" s="1"/>
  <c r="G4" i="10"/>
  <c r="H8" i="5"/>
  <c r="G7" i="12"/>
  <c r="D14" i="11"/>
  <c r="E14" i="11"/>
  <c r="C19" i="10"/>
  <c r="C14" i="11" s="1"/>
  <c r="C11" i="11"/>
  <c r="H4" i="5"/>
  <c r="G3" i="11"/>
  <c r="F6" i="11"/>
  <c r="F5" i="11" s="1"/>
  <c r="E58" i="8"/>
  <c r="G43" i="5" s="1"/>
  <c r="H43" i="5" s="1"/>
  <c r="I43" i="5" s="1"/>
  <c r="J43" i="5" s="1"/>
  <c r="K43" i="5" s="1"/>
  <c r="E16" i="6"/>
  <c r="E17" i="6" s="1"/>
  <c r="H6" i="5"/>
  <c r="H5" i="12" s="1"/>
  <c r="G10" i="7"/>
  <c r="G9" i="7"/>
  <c r="H5" i="5"/>
  <c r="H4" i="12" s="1"/>
  <c r="F4" i="7"/>
  <c r="F16" i="7" s="1"/>
  <c r="F28" i="7" s="1"/>
  <c r="F30" i="7" s="1"/>
  <c r="F33" i="7" s="1"/>
  <c r="J8" i="8"/>
  <c r="H26" i="5"/>
  <c r="H12" i="7" s="1"/>
  <c r="G12" i="7"/>
  <c r="H9" i="5"/>
  <c r="H8" i="12" s="1"/>
  <c r="G11" i="7"/>
  <c r="D22" i="6"/>
  <c r="D31" i="6" s="1"/>
  <c r="D34" i="6" s="1"/>
  <c r="H31" i="5"/>
  <c r="G33" i="5"/>
  <c r="H27" i="5"/>
  <c r="G20" i="7"/>
  <c r="G21" i="7" s="1"/>
  <c r="E4" i="7"/>
  <c r="E16" i="7" s="1"/>
  <c r="E28" i="7" s="1"/>
  <c r="E30" i="7" s="1"/>
  <c r="E33" i="7" s="1"/>
  <c r="I8" i="8"/>
  <c r="H7" i="5"/>
  <c r="H17" i="5"/>
  <c r="H12" i="12" s="1"/>
  <c r="G7" i="7"/>
  <c r="D4" i="7"/>
  <c r="D16" i="7" s="1"/>
  <c r="D28" i="7" s="1"/>
  <c r="D30" i="7" s="1"/>
  <c r="D33" i="7" s="1"/>
  <c r="H8" i="8"/>
  <c r="H24" i="5"/>
  <c r="H15" i="5"/>
  <c r="G24" i="7"/>
  <c r="G21" i="5"/>
  <c r="H37" i="5"/>
  <c r="G25" i="7"/>
  <c r="E57" i="8"/>
  <c r="G42" i="5" s="1"/>
  <c r="H42" i="5" s="1"/>
  <c r="I42" i="5" s="1"/>
  <c r="J42" i="5" s="1"/>
  <c r="K42" i="5" s="1"/>
  <c r="H18" i="5"/>
  <c r="H13" i="12" s="1"/>
  <c r="G8" i="7"/>
  <c r="G12" i="5"/>
  <c r="G45" i="5" s="1"/>
  <c r="E53" i="8"/>
  <c r="G38" i="5" s="1"/>
  <c r="H38" i="5" s="1"/>
  <c r="I38" i="5" s="1"/>
  <c r="J38" i="5" s="1"/>
  <c r="K38" i="5" s="1"/>
  <c r="H36" i="5"/>
  <c r="F17" i="6"/>
  <c r="C4" i="7"/>
  <c r="G8" i="8"/>
  <c r="C17" i="6"/>
  <c r="H4" i="6"/>
  <c r="H22" i="12" s="1"/>
  <c r="F8" i="8"/>
  <c r="E8" i="8" s="1"/>
  <c r="F59" i="8"/>
  <c r="E59" i="8" s="1"/>
  <c r="G44" i="5" s="1"/>
  <c r="H44" i="5" s="1"/>
  <c r="I44" i="5" s="1"/>
  <c r="J44" i="5" s="1"/>
  <c r="K44" i="5" s="1"/>
  <c r="I25" i="6"/>
  <c r="H14" i="6"/>
  <c r="E20" i="6"/>
  <c r="I9" i="8"/>
  <c r="I7" i="6"/>
  <c r="E54" i="8"/>
  <c r="H15" i="6"/>
  <c r="H26" i="6"/>
  <c r="H27" i="6" s="1"/>
  <c r="H28" i="6" s="1"/>
  <c r="H30" i="6" s="1"/>
  <c r="I24" i="6"/>
  <c r="B16" i="6"/>
  <c r="F48" i="5"/>
  <c r="F47" i="5"/>
  <c r="D48" i="5"/>
  <c r="D47" i="5"/>
  <c r="C48" i="5"/>
  <c r="C47" i="5"/>
  <c r="E48" i="5"/>
  <c r="E47" i="5"/>
  <c r="B47" i="5"/>
  <c r="G4" i="11" l="1"/>
  <c r="G18" i="10"/>
  <c r="H10" i="6"/>
  <c r="G5" i="7"/>
  <c r="G10" i="11"/>
  <c r="H4" i="10"/>
  <c r="G28" i="10"/>
  <c r="H6" i="12"/>
  <c r="G32" i="7"/>
  <c r="H29" i="7"/>
  <c r="G26" i="10"/>
  <c r="G5" i="10"/>
  <c r="G9" i="10" s="1"/>
  <c r="H3" i="10"/>
  <c r="I32" i="5"/>
  <c r="H11" i="12"/>
  <c r="I8" i="5"/>
  <c r="H7" i="12"/>
  <c r="G13" i="6"/>
  <c r="H13" i="6" s="1"/>
  <c r="H16" i="6" s="1"/>
  <c r="G13" i="10"/>
  <c r="G5" i="6"/>
  <c r="I19" i="5"/>
  <c r="H14" i="12"/>
  <c r="H28" i="5"/>
  <c r="H3" i="6"/>
  <c r="H21" i="12" s="1"/>
  <c r="G39" i="5"/>
  <c r="H39" i="5" s="1"/>
  <c r="I39" i="5" s="1"/>
  <c r="J39" i="5" s="1"/>
  <c r="K39" i="5" s="1"/>
  <c r="G7" i="1"/>
  <c r="G8" i="1" s="1"/>
  <c r="G9" i="1" s="1"/>
  <c r="H20" i="7"/>
  <c r="H21" i="7" s="1"/>
  <c r="H3" i="12"/>
  <c r="H9" i="12" s="1"/>
  <c r="H10" i="7"/>
  <c r="H9" i="7"/>
  <c r="I4" i="5"/>
  <c r="G6" i="11"/>
  <c r="G5" i="11" s="1"/>
  <c r="H3" i="11"/>
  <c r="F11" i="11"/>
  <c r="F19" i="10"/>
  <c r="E22" i="6"/>
  <c r="E31" i="6" s="1"/>
  <c r="E34" i="6" s="1"/>
  <c r="H12" i="5"/>
  <c r="H45" i="5" s="1"/>
  <c r="G26" i="7"/>
  <c r="I5" i="5"/>
  <c r="I15" i="5"/>
  <c r="H24" i="7"/>
  <c r="H21" i="5"/>
  <c r="I27" i="5"/>
  <c r="I9" i="5"/>
  <c r="I8" i="12" s="1"/>
  <c r="I18" i="5"/>
  <c r="I13" i="12" s="1"/>
  <c r="H8" i="7"/>
  <c r="I13" i="6"/>
  <c r="J13" i="6" s="1"/>
  <c r="K13" i="6" s="1"/>
  <c r="I7" i="5"/>
  <c r="I31" i="5"/>
  <c r="H33" i="5"/>
  <c r="G13" i="7"/>
  <c r="J7" i="6"/>
  <c r="J25" i="6"/>
  <c r="I14" i="6"/>
  <c r="I15" i="6"/>
  <c r="J24" i="6"/>
  <c r="I26" i="6"/>
  <c r="I27" i="6" s="1"/>
  <c r="I28" i="6" s="1"/>
  <c r="I30" i="6" s="1"/>
  <c r="I4" i="6"/>
  <c r="I22" i="12" s="1"/>
  <c r="G16" i="6"/>
  <c r="I24" i="5"/>
  <c r="I28" i="5" s="1"/>
  <c r="H40" i="5"/>
  <c r="I36" i="5"/>
  <c r="I37" i="5"/>
  <c r="H25" i="7"/>
  <c r="I17" i="5"/>
  <c r="I12" i="12" s="1"/>
  <c r="H7" i="7"/>
  <c r="F22" i="6"/>
  <c r="F31" i="6" s="1"/>
  <c r="F34" i="6" s="1"/>
  <c r="B17" i="6"/>
  <c r="C22" i="6"/>
  <c r="C31" i="6" s="1"/>
  <c r="C34" i="6" s="1"/>
  <c r="G40" i="5"/>
  <c r="G46" i="5" s="1"/>
  <c r="H11" i="7"/>
  <c r="I26" i="5"/>
  <c r="I12" i="7" s="1"/>
  <c r="I6" i="5"/>
  <c r="I5" i="12" s="1"/>
  <c r="I10" i="7"/>
  <c r="I3" i="6" l="1"/>
  <c r="I21" i="12" s="1"/>
  <c r="H5" i="6"/>
  <c r="H9" i="6"/>
  <c r="H11" i="6" s="1"/>
  <c r="H4" i="7" s="1"/>
  <c r="H15" i="12"/>
  <c r="H17" i="12"/>
  <c r="H20" i="10" s="1"/>
  <c r="J19" i="5"/>
  <c r="I14" i="12"/>
  <c r="H26" i="10"/>
  <c r="I3" i="10"/>
  <c r="H5" i="10"/>
  <c r="H9" i="10" s="1"/>
  <c r="I4" i="10"/>
  <c r="H28" i="10"/>
  <c r="G11" i="10"/>
  <c r="G30" i="10" s="1"/>
  <c r="G29" i="10"/>
  <c r="F14" i="11"/>
  <c r="F21" i="10"/>
  <c r="F3" i="14" s="1"/>
  <c r="H13" i="10"/>
  <c r="H18" i="10"/>
  <c r="H4" i="11"/>
  <c r="H10" i="11" s="1"/>
  <c r="I10" i="6"/>
  <c r="H5" i="7"/>
  <c r="J5" i="5"/>
  <c r="J4" i="12" s="1"/>
  <c r="I4" i="12"/>
  <c r="J32" i="5"/>
  <c r="I11" i="12"/>
  <c r="I6" i="12"/>
  <c r="I29" i="7"/>
  <c r="H32" i="7"/>
  <c r="G9" i="6"/>
  <c r="G11" i="6" s="1"/>
  <c r="G17" i="6" s="1"/>
  <c r="G22" i="6" s="1"/>
  <c r="G31" i="6" s="1"/>
  <c r="I20" i="7"/>
  <c r="I21" i="7" s="1"/>
  <c r="I3" i="12"/>
  <c r="J8" i="5"/>
  <c r="I7" i="12"/>
  <c r="G11" i="11"/>
  <c r="G19" i="10"/>
  <c r="I9" i="7"/>
  <c r="J4" i="5"/>
  <c r="H6" i="11"/>
  <c r="I3" i="11"/>
  <c r="J9" i="7"/>
  <c r="I11" i="7"/>
  <c r="H46" i="5"/>
  <c r="I12" i="5"/>
  <c r="I45" i="5" s="1"/>
  <c r="H13" i="7"/>
  <c r="J37" i="5"/>
  <c r="I25" i="7"/>
  <c r="K25" i="6"/>
  <c r="J14" i="6"/>
  <c r="J7" i="5"/>
  <c r="K7" i="6"/>
  <c r="J27" i="5"/>
  <c r="J36" i="5"/>
  <c r="I40" i="5"/>
  <c r="H17" i="6"/>
  <c r="H22" i="6" s="1"/>
  <c r="H31" i="6" s="1"/>
  <c r="J26" i="6"/>
  <c r="J27" i="6" s="1"/>
  <c r="J28" i="6" s="1"/>
  <c r="J30" i="6" s="1"/>
  <c r="J15" i="6"/>
  <c r="K24" i="6"/>
  <c r="J31" i="5"/>
  <c r="I33" i="5"/>
  <c r="B22" i="6"/>
  <c r="B31" i="6" s="1"/>
  <c r="B34" i="6" s="1"/>
  <c r="J9" i="5"/>
  <c r="J8" i="12" s="1"/>
  <c r="J17" i="5"/>
  <c r="J12" i="12" s="1"/>
  <c r="I7" i="7"/>
  <c r="H26" i="7"/>
  <c r="J6" i="5"/>
  <c r="J5" i="12" s="1"/>
  <c r="J4" i="6"/>
  <c r="J22" i="12" s="1"/>
  <c r="J26" i="5"/>
  <c r="J12" i="7" s="1"/>
  <c r="J24" i="5"/>
  <c r="J28" i="5" s="1"/>
  <c r="I16" i="6"/>
  <c r="J18" i="5"/>
  <c r="J13" i="12" s="1"/>
  <c r="I8" i="7"/>
  <c r="I24" i="7"/>
  <c r="J15" i="5"/>
  <c r="I21" i="5"/>
  <c r="K5" i="5"/>
  <c r="K4" i="12" s="1"/>
  <c r="J3" i="6" l="1"/>
  <c r="J21" i="12" s="1"/>
  <c r="I5" i="6"/>
  <c r="G4" i="7"/>
  <c r="G16" i="7" s="1"/>
  <c r="G28" i="7" s="1"/>
  <c r="G30" i="7" s="1"/>
  <c r="G33" i="7" s="1"/>
  <c r="I26" i="10"/>
  <c r="J3" i="10"/>
  <c r="I5" i="10"/>
  <c r="I9" i="10" s="1"/>
  <c r="G15" i="10"/>
  <c r="G14" i="10"/>
  <c r="J6" i="12"/>
  <c r="J29" i="7"/>
  <c r="I32" i="7"/>
  <c r="I9" i="12"/>
  <c r="I15" i="12"/>
  <c r="J4" i="10"/>
  <c r="I28" i="10"/>
  <c r="I18" i="10"/>
  <c r="I4" i="11"/>
  <c r="I10" i="11" s="1"/>
  <c r="I5" i="7"/>
  <c r="J10" i="6"/>
  <c r="K19" i="5"/>
  <c r="K14" i="12" s="1"/>
  <c r="J14" i="12"/>
  <c r="K8" i="5"/>
  <c r="K7" i="12" s="1"/>
  <c r="J7" i="12"/>
  <c r="I9" i="6"/>
  <c r="I11" i="6" s="1"/>
  <c r="I17" i="6" s="1"/>
  <c r="I22" i="6" s="1"/>
  <c r="I31" i="6" s="1"/>
  <c r="H16" i="7"/>
  <c r="H28" i="7" s="1"/>
  <c r="H30" i="7" s="1"/>
  <c r="H33" i="7" s="1"/>
  <c r="H5" i="11"/>
  <c r="K32" i="5"/>
  <c r="K11" i="12" s="1"/>
  <c r="J11" i="12"/>
  <c r="J15" i="12" s="1"/>
  <c r="J20" i="7"/>
  <c r="J21" i="7" s="1"/>
  <c r="J3" i="12"/>
  <c r="J9" i="12" s="1"/>
  <c r="I13" i="10"/>
  <c r="H29" i="10"/>
  <c r="H11" i="10"/>
  <c r="H30" i="10" s="1"/>
  <c r="K14" i="6"/>
  <c r="H19" i="10"/>
  <c r="H11" i="11"/>
  <c r="J10" i="7"/>
  <c r="K9" i="7"/>
  <c r="J11" i="7"/>
  <c r="K4" i="5"/>
  <c r="J3" i="11"/>
  <c r="I6" i="11"/>
  <c r="I5" i="11" s="1"/>
  <c r="J16" i="6"/>
  <c r="I13" i="7"/>
  <c r="I26" i="7"/>
  <c r="I46" i="5"/>
  <c r="J24" i="7"/>
  <c r="K15" i="5"/>
  <c r="B27" i="11" s="1"/>
  <c r="J21" i="5"/>
  <c r="K26" i="6"/>
  <c r="K27" i="6" s="1"/>
  <c r="K28" i="6" s="1"/>
  <c r="K30" i="6" s="1"/>
  <c r="K15" i="6"/>
  <c r="K37" i="5"/>
  <c r="J25" i="7"/>
  <c r="K7" i="5"/>
  <c r="K17" i="5"/>
  <c r="K12" i="12" s="1"/>
  <c r="K15" i="12" s="1"/>
  <c r="J7" i="7"/>
  <c r="K36" i="5"/>
  <c r="J40" i="5"/>
  <c r="K18" i="5"/>
  <c r="K13" i="12" s="1"/>
  <c r="J8" i="7"/>
  <c r="J12" i="5"/>
  <c r="J45" i="5" s="1"/>
  <c r="K9" i="5"/>
  <c r="K8" i="12" s="1"/>
  <c r="K26" i="5"/>
  <c r="K12" i="7" s="1"/>
  <c r="K31" i="5"/>
  <c r="K33" i="5" s="1"/>
  <c r="J33" i="5"/>
  <c r="K27" i="5"/>
  <c r="K24" i="5"/>
  <c r="K4" i="6"/>
  <c r="K22" i="12" s="1"/>
  <c r="K6" i="5"/>
  <c r="K5" i="12" s="1"/>
  <c r="J5" i="6"/>
  <c r="J9" i="6" s="1"/>
  <c r="J11" i="6" s="1"/>
  <c r="K3" i="6"/>
  <c r="K21" i="12" s="1"/>
  <c r="G16" i="10" l="1"/>
  <c r="G17" i="10" s="1"/>
  <c r="G21" i="10" s="1"/>
  <c r="G3" i="14" s="1"/>
  <c r="G6" i="14" s="1"/>
  <c r="I4" i="7"/>
  <c r="I16" i="7"/>
  <c r="K20" i="7"/>
  <c r="K21" i="7" s="1"/>
  <c r="K3" i="12"/>
  <c r="K16" i="6"/>
  <c r="J13" i="10"/>
  <c r="K6" i="12"/>
  <c r="K29" i="7"/>
  <c r="J32" i="7"/>
  <c r="H15" i="10"/>
  <c r="H14" i="10"/>
  <c r="H16" i="10" s="1"/>
  <c r="H17" i="10" s="1"/>
  <c r="H21" i="10" s="1"/>
  <c r="H3" i="14" s="1"/>
  <c r="H6" i="14" s="1"/>
  <c r="J18" i="10"/>
  <c r="J4" i="11"/>
  <c r="J5" i="7"/>
  <c r="K10" i="6"/>
  <c r="I17" i="12"/>
  <c r="I20" i="10" s="1"/>
  <c r="J26" i="10"/>
  <c r="K3" i="10"/>
  <c r="J5" i="10"/>
  <c r="J9" i="10" s="1"/>
  <c r="B30" i="11"/>
  <c r="J17" i="12"/>
  <c r="K4" i="10"/>
  <c r="J28" i="10"/>
  <c r="B28" i="11"/>
  <c r="B31" i="11" s="1"/>
  <c r="J10" i="11"/>
  <c r="I11" i="10"/>
  <c r="I30" i="10" s="1"/>
  <c r="I29" i="10"/>
  <c r="K28" i="5"/>
  <c r="K25" i="7"/>
  <c r="B21" i="11"/>
  <c r="B26" i="11" s="1"/>
  <c r="B37" i="11" s="1"/>
  <c r="K8" i="7"/>
  <c r="I11" i="11"/>
  <c r="I19" i="10"/>
  <c r="K11" i="7"/>
  <c r="K7" i="7"/>
  <c r="K3" i="11"/>
  <c r="J6" i="11"/>
  <c r="J5" i="11" s="1"/>
  <c r="I28" i="7"/>
  <c r="I30" i="7" s="1"/>
  <c r="I33" i="7" s="1"/>
  <c r="K12" i="5"/>
  <c r="K10" i="7"/>
  <c r="K40" i="5"/>
  <c r="J13" i="7"/>
  <c r="J4" i="7"/>
  <c r="J16" i="7" s="1"/>
  <c r="J17" i="6"/>
  <c r="J22" i="6" s="1"/>
  <c r="J31" i="6" s="1"/>
  <c r="K21" i="5"/>
  <c r="K24" i="7"/>
  <c r="K26" i="7" s="1"/>
  <c r="K5" i="6"/>
  <c r="K9" i="6" s="1"/>
  <c r="J46" i="5"/>
  <c r="J26" i="7"/>
  <c r="G14" i="11" l="1"/>
  <c r="K28" i="10"/>
  <c r="H14" i="11"/>
  <c r="J20" i="10"/>
  <c r="K13" i="10"/>
  <c r="B40" i="11"/>
  <c r="K5" i="7"/>
  <c r="K4" i="11"/>
  <c r="K10" i="11" s="1"/>
  <c r="K18" i="10"/>
  <c r="I15" i="10"/>
  <c r="I14" i="10"/>
  <c r="J11" i="10"/>
  <c r="J30" i="10" s="1"/>
  <c r="J29" i="10"/>
  <c r="K26" i="10"/>
  <c r="K5" i="10"/>
  <c r="K9" i="10" s="1"/>
  <c r="K9" i="12"/>
  <c r="K17" i="12" s="1"/>
  <c r="K20" i="10" s="1"/>
  <c r="K11" i="6"/>
  <c r="K17" i="6" s="1"/>
  <c r="K22" i="6" s="1"/>
  <c r="K31" i="6" s="1"/>
  <c r="K45" i="5"/>
  <c r="J19" i="10"/>
  <c r="J11" i="11"/>
  <c r="K13" i="7"/>
  <c r="J28" i="7"/>
  <c r="J30" i="7" s="1"/>
  <c r="J33" i="7" s="1"/>
  <c r="K46" i="5"/>
  <c r="B14" i="10"/>
  <c r="B15" i="10"/>
  <c r="K4" i="7" l="1"/>
  <c r="I16" i="10"/>
  <c r="I17" i="10" s="1"/>
  <c r="I21" i="10" s="1"/>
  <c r="K11" i="10"/>
  <c r="K30" i="10" s="1"/>
  <c r="K29" i="10"/>
  <c r="J14" i="10"/>
  <c r="J15" i="10"/>
  <c r="K16" i="7"/>
  <c r="K28" i="7" s="1"/>
  <c r="K30" i="7" s="1"/>
  <c r="B16" i="10"/>
  <c r="B17" i="10" s="1"/>
  <c r="B14" i="11" s="1"/>
  <c r="I3" i="14" l="1"/>
  <c r="I6" i="14" s="1"/>
  <c r="I14" i="11"/>
  <c r="J16" i="10"/>
  <c r="J17" i="10" s="1"/>
  <c r="J21" i="10" s="1"/>
  <c r="K15" i="10"/>
  <c r="K14" i="10"/>
  <c r="C16" i="7"/>
  <c r="C28" i="7" s="1"/>
  <c r="C30" i="7" s="1"/>
  <c r="C33" i="7" s="1"/>
  <c r="K16" i="10" l="1"/>
  <c r="K17" i="10" s="1"/>
  <c r="K21" i="10" s="1"/>
  <c r="J3" i="14"/>
  <c r="J6" i="14" s="1"/>
  <c r="J14" i="11"/>
  <c r="K3" i="14" l="1"/>
  <c r="K14" i="11"/>
  <c r="B12" i="14" l="1"/>
  <c r="B13" i="14" s="1"/>
  <c r="K6" i="14"/>
  <c r="B9" i="14" s="1"/>
  <c r="B14" i="14" l="1"/>
  <c r="B18" i="14" s="1"/>
  <c r="B20" i="14" s="1"/>
  <c r="E11" i="14" s="1"/>
</calcChain>
</file>

<file path=xl/sharedStrings.xml><?xml version="1.0" encoding="utf-8"?>
<sst xmlns="http://schemas.openxmlformats.org/spreadsheetml/2006/main" count="559" uniqueCount="319">
  <si>
    <t>Consolidated Balance Sheet</t>
  </si>
  <si>
    <t>------------------- in Rs. Cr. -------------------</t>
  </si>
  <si>
    <t>EQUITIES AND LIABILITIES</t>
  </si>
  <si>
    <t>SHAREHOLDER'S FUNDS</t>
  </si>
  <si>
    <t>Equity Share Capital</t>
  </si>
  <si>
    <t>Total Share Capital</t>
  </si>
  <si>
    <t>Reserves and Surplus</t>
  </si>
  <si>
    <t>Total Reserves and Surplus</t>
  </si>
  <si>
    <t>Total Shareholders Funds</t>
  </si>
  <si>
    <t>Minority Interest</t>
  </si>
  <si>
    <t>NON-CURRENT LIABILITIES</t>
  </si>
  <si>
    <t>Long Term Borrowings</t>
  </si>
  <si>
    <t>Deferred Tax Liabilities [Net]</t>
  </si>
  <si>
    <t>Other Long Term Liabilities</t>
  </si>
  <si>
    <t>Long Term Provisions</t>
  </si>
  <si>
    <t>Total Non-Current Liabilities</t>
  </si>
  <si>
    <t>CURRENT LIABILITIES</t>
  </si>
  <si>
    <t>Short Term Borrowings</t>
  </si>
  <si>
    <t>Trade Payables</t>
  </si>
  <si>
    <t>Other Current Liabilities</t>
  </si>
  <si>
    <t>Short Term Provisions</t>
  </si>
  <si>
    <t>Total Current Liabilities</t>
  </si>
  <si>
    <t>Total Capital And Liabilities</t>
  </si>
  <si>
    <t>ASSETS</t>
  </si>
  <si>
    <t>NON-CURRENT ASSETS</t>
  </si>
  <si>
    <t>Tangible Assets</t>
  </si>
  <si>
    <t>Intangible Assets</t>
  </si>
  <si>
    <t>Capital Work-In-Progress</t>
  </si>
  <si>
    <t>Fixed Assets</t>
  </si>
  <si>
    <t>Non-Current Investments</t>
  </si>
  <si>
    <t>Deferred Tax Assets [Net]</t>
  </si>
  <si>
    <t>Long Term Loans And Advances</t>
  </si>
  <si>
    <t>Other Non-Current Assets</t>
  </si>
  <si>
    <t>Total Non-Current Assets</t>
  </si>
  <si>
    <t>CURRENT ASSETS</t>
  </si>
  <si>
    <t>Current Investments</t>
  </si>
  <si>
    <t>Inventories</t>
  </si>
  <si>
    <t>Trade Receivables</t>
  </si>
  <si>
    <t>Cash And Cash Equivalents</t>
  </si>
  <si>
    <t>Short Term Loans And Advances</t>
  </si>
  <si>
    <t>OtherCurrentAssets</t>
  </si>
  <si>
    <t>Total Current Assets</t>
  </si>
  <si>
    <t>Total Assets</t>
  </si>
  <si>
    <t>OTHER ADDITIONAL INFORMATION</t>
  </si>
  <si>
    <t>CONTINGENT LIABILITIES, COMMITMENTS</t>
  </si>
  <si>
    <t>Contingent Liabilities</t>
  </si>
  <si>
    <t>BONUS DETAILS</t>
  </si>
  <si>
    <t>Bonus Equity Share Capital</t>
  </si>
  <si>
    <t>NON-CURRENT INVESTMENTS</t>
  </si>
  <si>
    <t>Non-Current Investments Quoted Market Value</t>
  </si>
  <si>
    <t>Non-Current Investments Unquoted Book Value</t>
  </si>
  <si>
    <t>CURRENT INVESTMENTS</t>
  </si>
  <si>
    <t>Current Investments Quoted Market Value</t>
  </si>
  <si>
    <t>Current Investments Unquoted Book Value</t>
  </si>
  <si>
    <t>Consolidated Profit &amp; Loss account</t>
  </si>
  <si>
    <t>INCOME</t>
  </si>
  <si>
    <t>Revenue From Operations [Gross]</t>
  </si>
  <si>
    <t>Revenue From Operations [Net]</t>
  </si>
  <si>
    <t>Total Operating Revenues</t>
  </si>
  <si>
    <t>Other Income</t>
  </si>
  <si>
    <t>Total Revenue</t>
  </si>
  <si>
    <t>EXPENSES</t>
  </si>
  <si>
    <t>Operating And Direct Expenses</t>
  </si>
  <si>
    <t>Employee Benefit Expenses</t>
  </si>
  <si>
    <t>Finance Costs</t>
  </si>
  <si>
    <t>Depreciation And Amortisation Expenses</t>
  </si>
  <si>
    <t>Other Expenses</t>
  </si>
  <si>
    <t>Total Expenses</t>
  </si>
  <si>
    <t>Profit/Loss Before Exceptional, ExtraOrdinary Items And Tax</t>
  </si>
  <si>
    <t>Exceptional Items</t>
  </si>
  <si>
    <t>Profit/Loss Before Tax</t>
  </si>
  <si>
    <t>Tax Expenses-Continued Operations</t>
  </si>
  <si>
    <t>Current Tax</t>
  </si>
  <si>
    <t>Deferred Tax</t>
  </si>
  <si>
    <t>Total Tax Expenses</t>
  </si>
  <si>
    <t>Profit/Loss After Tax And Before ExtraOrdinary Items</t>
  </si>
  <si>
    <t>Profit/Loss From Continuing Operations</t>
  </si>
  <si>
    <t>Profit/Loss For The Period</t>
  </si>
  <si>
    <t>Consolidated Profit/Loss After MI And Associates</t>
  </si>
  <si>
    <t>EARNINGS PER SHARE</t>
  </si>
  <si>
    <t>Basic EPS (Rs.)</t>
  </si>
  <si>
    <t>Diluted EPS (Rs.)</t>
  </si>
  <si>
    <t>DIVIDEND AND DIVIDEND PERCENTAGE</t>
  </si>
  <si>
    <t>Equity Share Dividend</t>
  </si>
  <si>
    <t>Tax On Dividend</t>
  </si>
  <si>
    <t>Consolidated Cash Flow</t>
  </si>
  <si>
    <t>Mar '22</t>
  </si>
  <si>
    <t>Mar '21</t>
  </si>
  <si>
    <t>Mar '20</t>
  </si>
  <si>
    <t>Mar '19</t>
  </si>
  <si>
    <t>Mar '18</t>
  </si>
  <si>
    <t>Net Profit Before Tax</t>
  </si>
  <si>
    <t>Net Cash From Operating Activities</t>
  </si>
  <si>
    <t>Net Cash (used in)/from</t>
  </si>
  <si>
    <t>Investing Activities</t>
  </si>
  <si>
    <t>Net Cash (used in)/from Financing Activities</t>
  </si>
  <si>
    <t>Net (decrease)/increase In Cash and Cash Equivalents</t>
  </si>
  <si>
    <t>Opening Cash &amp; Cash Equivalents</t>
  </si>
  <si>
    <t>Closing Cash &amp; Cash Equivalents</t>
  </si>
  <si>
    <t>Consolidated Key Financial Ratios</t>
  </si>
  <si>
    <t>Investment Valuation Ratios</t>
  </si>
  <si>
    <t>Face Value</t>
  </si>
  <si>
    <t>Dividend Per Share</t>
  </si>
  <si>
    <t>--</t>
  </si>
  <si>
    <t>Operating Profit Per Share (Rs)</t>
  </si>
  <si>
    <t>Net Operating Profit Per Share (Rs)</t>
  </si>
  <si>
    <t>Free Reserves Per Share (Rs)</t>
  </si>
  <si>
    <t>Bonus in Equity Capital</t>
  </si>
  <si>
    <t>Profitability Ratios</t>
  </si>
  <si>
    <t>Operating Profit Margin(%)</t>
  </si>
  <si>
    <t>Profit Before Interest And Tax Margin(%)</t>
  </si>
  <si>
    <t>Gross Profit Margin(%)</t>
  </si>
  <si>
    <t>Cash Profit Margin(%)</t>
  </si>
  <si>
    <t>Adjusted Cash Margin(%)</t>
  </si>
  <si>
    <t>Net Profit Margin(%)</t>
  </si>
  <si>
    <t>Adjusted Net Profit Margin(%)</t>
  </si>
  <si>
    <t>Return On Capital Employed(%)</t>
  </si>
  <si>
    <t>Return On Net Worth(%)</t>
  </si>
  <si>
    <t>Adjusted Return on Net Worth(%)</t>
  </si>
  <si>
    <t>Return on Assets Excluding Revaluations</t>
  </si>
  <si>
    <t>Return on Assets Including Revaluations</t>
  </si>
  <si>
    <t>Return on Long Term Funds(%)</t>
  </si>
  <si>
    <t>Liquidity And Solvency Ratios</t>
  </si>
  <si>
    <t>Current Ratio</t>
  </si>
  <si>
    <t>Quick Ratio</t>
  </si>
  <si>
    <t>Debt Equity Ratio</t>
  </si>
  <si>
    <t>Long Term Debt Equity Ratio</t>
  </si>
  <si>
    <t>Debt Coverage Ratios</t>
  </si>
  <si>
    <t>Interest Cover</t>
  </si>
  <si>
    <t>Total Debt to Owners Fund</t>
  </si>
  <si>
    <t>Financial Charges Coverage Ratio</t>
  </si>
  <si>
    <t>Financial Charges Coverage Ratio Post Tax</t>
  </si>
  <si>
    <t>Management Efficiency Ratios</t>
  </si>
  <si>
    <t>Inventory Turnover Ratio</t>
  </si>
  <si>
    <t>Debtors Turnover Ratio</t>
  </si>
  <si>
    <t>Investments Turnover Ratio</t>
  </si>
  <si>
    <t>Fixed Assets Turnover Ratio</t>
  </si>
  <si>
    <t>Total Assets Turnover Ratio</t>
  </si>
  <si>
    <t>Asset Turnover Ratio</t>
  </si>
  <si>
    <t>Average Raw Material Holding</t>
  </si>
  <si>
    <t>Average Finished Goods Held</t>
  </si>
  <si>
    <t>Number of Days In Working Capital</t>
  </si>
  <si>
    <t>Profit &amp; Loss Account Ratios</t>
  </si>
  <si>
    <t>Material Cost Composition</t>
  </si>
  <si>
    <t>Imported Composition of Raw Materials Consumed</t>
  </si>
  <si>
    <t>Selling Distribution Cost Composition</t>
  </si>
  <si>
    <t>Expenses as Composition of Total Sales</t>
  </si>
  <si>
    <t>Cash Flow Indicator Ratios</t>
  </si>
  <si>
    <t>Dividend Payout Ratio Net Profit</t>
  </si>
  <si>
    <t>Dividend Payout Ratio Cash Profit</t>
  </si>
  <si>
    <t>Earning Retention Ratio</t>
  </si>
  <si>
    <t>Cash Earning Retention Ratio</t>
  </si>
  <si>
    <t>AdjustedCash Flow Times</t>
  </si>
  <si>
    <t>Reformulated Balance Sheet</t>
  </si>
  <si>
    <t>Particulars</t>
  </si>
  <si>
    <t>Operating Assets</t>
  </si>
  <si>
    <t>Net Block</t>
  </si>
  <si>
    <t>Deferred Tax Assets</t>
  </si>
  <si>
    <t>Total OA</t>
  </si>
  <si>
    <t>Operating Liabilities</t>
  </si>
  <si>
    <t>Total OL</t>
  </si>
  <si>
    <t>Financial Assets</t>
  </si>
  <si>
    <t>Total FA</t>
  </si>
  <si>
    <t>Financial Liabilities</t>
  </si>
  <si>
    <t>Total FL</t>
  </si>
  <si>
    <t>CSE</t>
  </si>
  <si>
    <t>MI</t>
  </si>
  <si>
    <t>ESOPs</t>
  </si>
  <si>
    <t>Total CSE + MI</t>
  </si>
  <si>
    <t>NOA</t>
  </si>
  <si>
    <t>NFO(NFA)</t>
  </si>
  <si>
    <t>CSE+ MI</t>
  </si>
  <si>
    <t>TOTAL ASSESTS</t>
  </si>
  <si>
    <t>TOTAL LIABILITIES + CSE</t>
  </si>
  <si>
    <t>CHECK 1</t>
  </si>
  <si>
    <t>CHECK 2</t>
  </si>
  <si>
    <t>Reformulated Income</t>
  </si>
  <si>
    <t>Operating Revenues</t>
  </si>
  <si>
    <t>Cost of Sales</t>
  </si>
  <si>
    <t>Gross Margin</t>
  </si>
  <si>
    <t>Operating Expenses</t>
  </si>
  <si>
    <t>Taxes</t>
  </si>
  <si>
    <t>Taxes as reported</t>
  </si>
  <si>
    <t>Tax Benefit on Financial Expenses</t>
  </si>
  <si>
    <t>Less Tax allocated to Other Operating income</t>
  </si>
  <si>
    <t>Net Taxes</t>
  </si>
  <si>
    <t>Other operating income (before tax items)</t>
  </si>
  <si>
    <t>Less Tax on Other Operating income</t>
  </si>
  <si>
    <t>Other operating income (after tax items)</t>
  </si>
  <si>
    <t>Operating income (after tax)</t>
  </si>
  <si>
    <t>Financing Expense (income)</t>
  </si>
  <si>
    <t>Interest income</t>
  </si>
  <si>
    <t>Interest expense</t>
  </si>
  <si>
    <t>Net Interest Income</t>
  </si>
  <si>
    <t>Net interest Income after tax</t>
  </si>
  <si>
    <t>Preffered dividends</t>
  </si>
  <si>
    <t>Net financing Income after tax</t>
  </si>
  <si>
    <t>Comprehensive income</t>
  </si>
  <si>
    <t>Tax Rate</t>
  </si>
  <si>
    <t>CHECK</t>
  </si>
  <si>
    <t>Profit/Loss of Associate Company + MI</t>
  </si>
  <si>
    <t xml:space="preserve">Tax Rate </t>
  </si>
  <si>
    <t>Cash flows from operating activities</t>
  </si>
  <si>
    <t>Net increase in cash and cash equivalents</t>
  </si>
  <si>
    <t>Cash and cash equivalents at beginning of period</t>
  </si>
  <si>
    <t>Cash and cash equivalents at end of period</t>
  </si>
  <si>
    <t>Profit Before Taxes</t>
  </si>
  <si>
    <t>Add: Depreciation and amortization</t>
  </si>
  <si>
    <t>Change In WC items</t>
  </si>
  <si>
    <t>Reformulated CashFlow Sataement</t>
  </si>
  <si>
    <t xml:space="preserve">Net Change in WC </t>
  </si>
  <si>
    <t>Cash Flow From Operating Activity</t>
  </si>
  <si>
    <t>Cash flows from Investing activities</t>
  </si>
  <si>
    <t>Capex</t>
  </si>
  <si>
    <t>Investments</t>
  </si>
  <si>
    <t>Cash Flow From Investing Activity</t>
  </si>
  <si>
    <t>Cash flows from Financing activities</t>
  </si>
  <si>
    <t>Debt</t>
  </si>
  <si>
    <t>Equity</t>
  </si>
  <si>
    <t>Less: Cash Tax Piad (Balancing Figure)</t>
  </si>
  <si>
    <t>Assumption</t>
  </si>
  <si>
    <t>Particular</t>
  </si>
  <si>
    <t>Driver</t>
  </si>
  <si>
    <t>Assumption Type</t>
  </si>
  <si>
    <t>Manual</t>
  </si>
  <si>
    <t>Factor Value</t>
  </si>
  <si>
    <t>Operating Revenues Growth</t>
  </si>
  <si>
    <t>Growth over last years</t>
  </si>
  <si>
    <t>LATEST</t>
  </si>
  <si>
    <t>Cost of sales Growth</t>
  </si>
  <si>
    <t xml:space="preserve">% of Sales </t>
  </si>
  <si>
    <t>Depriciation and Amortiation</t>
  </si>
  <si>
    <t>Other expenses</t>
  </si>
  <si>
    <t>% of Profit before Tax</t>
  </si>
  <si>
    <t>Profit/Loss of Associate Company</t>
  </si>
  <si>
    <t>Interest Income</t>
  </si>
  <si>
    <t xml:space="preserve">% of Investment </t>
  </si>
  <si>
    <t>Interest Expense</t>
  </si>
  <si>
    <t>% of Borowings</t>
  </si>
  <si>
    <t>Tax Rate % of profit Before Tax</t>
  </si>
  <si>
    <t>% of EBT</t>
  </si>
  <si>
    <t>AVERAGE</t>
  </si>
  <si>
    <t>MANUAL</t>
  </si>
  <si>
    <t>Other CurrentAssets</t>
  </si>
  <si>
    <t xml:space="preserve">Tax Effect </t>
  </si>
  <si>
    <t>Unlevered Free Cash Flow (mm)</t>
  </si>
  <si>
    <t>Revenue</t>
  </si>
  <si>
    <t>COGS</t>
  </si>
  <si>
    <t>EBITDA</t>
  </si>
  <si>
    <t>(+) Depreciation &amp; Amortization</t>
  </si>
  <si>
    <t>(-) Capital Expenditures</t>
  </si>
  <si>
    <t>(-) Change in NWC</t>
  </si>
  <si>
    <t>Current Assets</t>
  </si>
  <si>
    <t>Unlevered Free Cash Flow</t>
  </si>
  <si>
    <t>Assumptions</t>
  </si>
  <si>
    <t>Revenue Growth</t>
  </si>
  <si>
    <t>COGS % of Revenue</t>
  </si>
  <si>
    <t>Tax % of EBIT</t>
  </si>
  <si>
    <t>Operating income from sales (EBIT)</t>
  </si>
  <si>
    <t>Net Operating Profit After Tax(NOPAT)</t>
  </si>
  <si>
    <t>Free Cashflow Statement</t>
  </si>
  <si>
    <t>Fixed Assets Schedule</t>
  </si>
  <si>
    <t>Beginning PP&amp;E</t>
  </si>
  <si>
    <t>D&amp;A</t>
  </si>
  <si>
    <t>CapEx</t>
  </si>
  <si>
    <t>Ending PP&amp;E</t>
  </si>
  <si>
    <t>D&amp;A as a % of Beginning PP&amp;E</t>
  </si>
  <si>
    <t>CapEx as a % of Beginning PP&amp;E</t>
  </si>
  <si>
    <t>EBITDA Margin</t>
  </si>
  <si>
    <t>Net Working Capital</t>
  </si>
  <si>
    <t>Current Liabilities</t>
  </si>
  <si>
    <t>Days Sales Outstanding (DSO)</t>
  </si>
  <si>
    <t>Days Inventory Outstanding (DIO)</t>
  </si>
  <si>
    <t>Days Payable Outstanding (DPO)</t>
  </si>
  <si>
    <t>Other Current Assets as a % of Revenue</t>
  </si>
  <si>
    <t>Accrued Salaries as a % of Revenue</t>
  </si>
  <si>
    <t>Accrued Member Rewards as a % of Revenue</t>
  </si>
  <si>
    <t>Deferred Membership Fees as a % of Revenue</t>
  </si>
  <si>
    <t>Other Current Liabilities as a % of Revenue</t>
  </si>
  <si>
    <t>Weighted Average Cost of Capital (WACC)</t>
  </si>
  <si>
    <t>Equity (mm)</t>
  </si>
  <si>
    <t>Debt (mm)</t>
  </si>
  <si>
    <t>Cost of Debt</t>
  </si>
  <si>
    <t>D/(D+E)</t>
  </si>
  <si>
    <t>After Tax Cost of Debt</t>
  </si>
  <si>
    <t>Risk Free Rate (10-Yr Treasury Yield)</t>
  </si>
  <si>
    <t>Expected Market Return</t>
  </si>
  <si>
    <t>Levered Beta</t>
  </si>
  <si>
    <t>E/(D+E)</t>
  </si>
  <si>
    <t>Cost of Equity</t>
  </si>
  <si>
    <t>WACC</t>
  </si>
  <si>
    <t>Projection Year</t>
  </si>
  <si>
    <t>Present Value of Free Cash Flow</t>
  </si>
  <si>
    <t>Implied Share Price Calculation</t>
  </si>
  <si>
    <t>Sensitivity Table</t>
  </si>
  <si>
    <t>Sum of PV of FCF</t>
  </si>
  <si>
    <t>Growth Rate</t>
  </si>
  <si>
    <t>Terminal Value</t>
  </si>
  <si>
    <t>PV of Terminal Value</t>
  </si>
  <si>
    <t>Enterprise Value</t>
  </si>
  <si>
    <t>(+) Cash</t>
  </si>
  <si>
    <t>(-) Debt</t>
  </si>
  <si>
    <t>(-) Minority Interest</t>
  </si>
  <si>
    <t>Equity Value</t>
  </si>
  <si>
    <t>Diluted Shares Outstanding (mm)</t>
  </si>
  <si>
    <t>Implied Share Price</t>
  </si>
  <si>
    <t>PV of all the future FCFF (Enterprise Value)</t>
  </si>
  <si>
    <t>Share Price</t>
  </si>
  <si>
    <t>Add: Terminal Value (TV)</t>
  </si>
  <si>
    <t>Cash flows including TV</t>
  </si>
  <si>
    <t xml:space="preserve"> </t>
  </si>
  <si>
    <t>MKT Cap</t>
  </si>
  <si>
    <t>Net CashFlow</t>
  </si>
  <si>
    <t>Diff</t>
  </si>
  <si>
    <t>Market Risk Premium(Expected Market Return - Risk Free Rate)</t>
  </si>
  <si>
    <t>*Cost of Equity = Risk Free Rate+Beta(Expected Market Return - Risk Free Rate)</t>
  </si>
  <si>
    <t xml:space="preserve">*WACC = (Debt / (Debt + Equity))*(1-Tax rate) + Equity / (Debt + Equity) </t>
  </si>
  <si>
    <t>MI (Minority Interest)</t>
  </si>
  <si>
    <t>DIFFERENCE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</si>
</sst>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(* #,##0.00_);_(* \(#,##0.00\);_(* &quot;-&quot;??_);_(@_)"/>
    <numFmt numFmtId="164" formatCode="&quot;₹&quot;#,##0"/>
    <numFmt numFmtId="165" formatCode="_(* #,##0_);_(* \(#,##0\);_(* &quot;-&quot;??_);_(@_)"/>
    <numFmt numFmtId="166" formatCode="0.00000"/>
  </numFmts>
  <fonts count="29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Arial"/>
      <family val="2"/>
    </font>
    <font>
      <b/>
      <sz val="12"/>
      <color theme="1"/>
      <name val="Arial"/>
      <family val="2"/>
    </font>
    <font>
      <sz val="12"/>
      <color theme="4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name val="Segoe UI"/>
      <family val="2"/>
    </font>
    <font>
      <sz val="12"/>
      <name val="Segoe UI"/>
      <family val="2"/>
    </font>
    <font>
      <sz val="12"/>
      <name val="Calibri"/>
      <family val="2"/>
      <scheme val="minor"/>
    </font>
    <font>
      <b/>
      <u/>
      <sz val="12"/>
      <color theme="8" tint="-0.499984740745262"/>
      <name val="Calibri"/>
      <family val="2"/>
      <scheme val="minor"/>
    </font>
    <font>
      <b/>
      <sz val="12"/>
      <name val="Segoe UI"/>
    </font>
    <font>
      <sz val="12"/>
      <name val="Segoe UI"/>
    </font>
    <font>
      <sz val="12"/>
      <color rgb="FF151414"/>
      <name val="Proxima-nova"/>
    </font>
    <font>
      <sz val="12"/>
      <color theme="4"/>
      <name val="Proxima-nova"/>
    </font>
    <font>
      <sz val="12"/>
      <color theme="4"/>
      <name val="Arial"/>
      <family val="2"/>
    </font>
    <font>
      <sz val="11"/>
      <color theme="0"/>
      <name val="Calibri"/>
      <family val="2"/>
    </font>
    <font>
      <sz val="11"/>
      <color theme="1"/>
      <name val="Calibri"/>
      <family val="2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</font>
    <font>
      <sz val="12"/>
      <color theme="0"/>
      <name val="Calibri"/>
      <family val="2"/>
    </font>
    <font>
      <sz val="12"/>
      <color theme="1"/>
      <name val="Calibri"/>
      <family val="2"/>
    </font>
    <font>
      <b/>
      <sz val="12"/>
      <color theme="1"/>
      <name val="Calibri"/>
      <family val="2"/>
    </font>
    <font>
      <sz val="11"/>
      <name val="Calibri"/>
      <family val="2"/>
    </font>
    <font>
      <b/>
      <sz val="12"/>
      <color theme="0"/>
      <name val="Calibri"/>
      <family val="2"/>
    </font>
    <font>
      <b/>
      <sz val="11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rgb="FF000000"/>
      <name val="Helvetica"/>
      <family val="2"/>
    </font>
    <font>
      <b/>
      <u/>
      <sz val="12"/>
      <color theme="1"/>
      <name val="Calibri (Body)"/>
    </font>
    <font>
      <b/>
      <i/>
      <u/>
      <sz val="12"/>
      <color theme="1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2A3E68"/>
        <bgColor rgb="FF2A3E68"/>
      </patternFill>
    </fill>
    <fill>
      <patternFill patternType="solid">
        <fgColor rgb="FFD9E2F3"/>
        <bgColor rgb="FFD9E2F3"/>
      </patternFill>
    </fill>
    <fill>
      <patternFill patternType="solid">
        <fgColor rgb="FFFFFF99"/>
        <bgColor rgb="FFFFFF99"/>
      </patternFill>
    </fill>
    <fill>
      <patternFill patternType="solid">
        <fgColor rgb="FFE7E6E6"/>
        <bgColor rgb="FFE7E6E6"/>
      </patternFill>
    </fill>
  </fills>
  <borders count="5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theme="0" tint="-0.14999847407452621"/>
      </left>
      <right/>
      <top/>
      <bottom/>
      <diagonal/>
    </border>
  </borders>
  <cellStyleXfs count="4">
    <xf numFmtId="0" fontId="0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25" fillId="0" borderId="0" applyNumberFormat="0" applyFill="0" applyBorder="0" applyAlignment="0" applyProtection="0"/>
  </cellStyleXfs>
  <cellXfs count="111">
    <xf numFmtId="0" fontId="0" fillId="0" borderId="0" xfId="0"/>
    <xf numFmtId="0" fontId="2" fillId="0" borderId="0" xfId="0" applyFont="1"/>
    <xf numFmtId="0" fontId="3" fillId="0" borderId="0" xfId="0" applyFont="1"/>
    <xf numFmtId="17" fontId="3" fillId="0" borderId="0" xfId="0" applyNumberFormat="1" applyFont="1"/>
    <xf numFmtId="4" fontId="2" fillId="0" borderId="0" xfId="0" applyNumberFormat="1" applyFont="1"/>
    <xf numFmtId="4" fontId="3" fillId="0" borderId="0" xfId="0" applyNumberFormat="1" applyFont="1"/>
    <xf numFmtId="0" fontId="3" fillId="2" borderId="0" xfId="0" applyFont="1" applyFill="1"/>
    <xf numFmtId="9" fontId="0" fillId="0" borderId="0" xfId="1" applyFont="1"/>
    <xf numFmtId="10" fontId="0" fillId="0" borderId="0" xfId="1" applyNumberFormat="1" applyFont="1"/>
    <xf numFmtId="1" fontId="3" fillId="0" borderId="0" xfId="0" applyNumberFormat="1" applyFont="1"/>
    <xf numFmtId="1" fontId="4" fillId="0" borderId="0" xfId="0" applyNumberFormat="1" applyFont="1"/>
    <xf numFmtId="1" fontId="6" fillId="2" borderId="0" xfId="0" applyNumberFormat="1" applyFont="1" applyFill="1" applyAlignment="1">
      <alignment horizontal="left" vertical="top"/>
    </xf>
    <xf numFmtId="1" fontId="0" fillId="0" borderId="0" xfId="0" applyNumberFormat="1"/>
    <xf numFmtId="1" fontId="6" fillId="3" borderId="0" xfId="0" applyNumberFormat="1" applyFont="1" applyFill="1"/>
    <xf numFmtId="1" fontId="6" fillId="6" borderId="0" xfId="0" applyNumberFormat="1" applyFont="1" applyFill="1"/>
    <xf numFmtId="1" fontId="6" fillId="0" borderId="0" xfId="0" applyNumberFormat="1" applyFont="1"/>
    <xf numFmtId="1" fontId="7" fillId="0" borderId="0" xfId="0" applyNumberFormat="1" applyFont="1"/>
    <xf numFmtId="1" fontId="3" fillId="6" borderId="0" xfId="0" applyNumberFormat="1" applyFont="1" applyFill="1"/>
    <xf numFmtId="1" fontId="8" fillId="0" borderId="0" xfId="0" applyNumberFormat="1" applyFont="1"/>
    <xf numFmtId="1" fontId="8" fillId="2" borderId="0" xfId="0" applyNumberFormat="1" applyFont="1" applyFill="1"/>
    <xf numFmtId="1" fontId="8" fillId="4" borderId="0" xfId="0" applyNumberFormat="1" applyFont="1" applyFill="1"/>
    <xf numFmtId="0" fontId="0" fillId="5" borderId="0" xfId="0" applyFill="1"/>
    <xf numFmtId="9" fontId="0" fillId="0" borderId="0" xfId="0" applyNumberFormat="1"/>
    <xf numFmtId="2" fontId="0" fillId="0" borderId="0" xfId="0" applyNumberFormat="1"/>
    <xf numFmtId="43" fontId="0" fillId="0" borderId="0" xfId="0" applyNumberFormat="1"/>
    <xf numFmtId="0" fontId="7" fillId="0" borderId="0" xfId="0" applyFont="1"/>
    <xf numFmtId="0" fontId="6" fillId="3" borderId="0" xfId="0" applyFont="1" applyFill="1"/>
    <xf numFmtId="0" fontId="6" fillId="0" borderId="0" xfId="0" applyFont="1"/>
    <xf numFmtId="0" fontId="8" fillId="0" borderId="0" xfId="0" applyFont="1"/>
    <xf numFmtId="0" fontId="6" fillId="2" borderId="0" xfId="0" applyFont="1" applyFill="1" applyAlignment="1">
      <alignment horizontal="left" vertical="top"/>
    </xf>
    <xf numFmtId="3" fontId="10" fillId="3" borderId="0" xfId="0" applyNumberFormat="1" applyFont="1" applyFill="1"/>
    <xf numFmtId="3" fontId="3" fillId="6" borderId="0" xfId="0" applyNumberFormat="1" applyFont="1" applyFill="1"/>
    <xf numFmtId="3" fontId="0" fillId="0" borderId="0" xfId="0" applyNumberFormat="1"/>
    <xf numFmtId="0" fontId="10" fillId="0" borderId="0" xfId="0" applyFont="1"/>
    <xf numFmtId="0" fontId="11" fillId="0" borderId="0" xfId="0" applyFont="1"/>
    <xf numFmtId="3" fontId="12" fillId="0" borderId="0" xfId="0" applyNumberFormat="1" applyFont="1"/>
    <xf numFmtId="3" fontId="13" fillId="0" borderId="0" xfId="0" applyNumberFormat="1" applyFont="1"/>
    <xf numFmtId="3" fontId="2" fillId="0" borderId="0" xfId="0" applyNumberFormat="1" applyFont="1"/>
    <xf numFmtId="3" fontId="14" fillId="0" borderId="0" xfId="0" applyNumberFormat="1" applyFont="1"/>
    <xf numFmtId="3" fontId="3" fillId="0" borderId="0" xfId="0" applyNumberFormat="1" applyFont="1"/>
    <xf numFmtId="4" fontId="10" fillId="3" borderId="0" xfId="0" applyNumberFormat="1" applyFont="1" applyFill="1"/>
    <xf numFmtId="4" fontId="11" fillId="0" borderId="0" xfId="0" applyNumberFormat="1" applyFont="1"/>
    <xf numFmtId="4" fontId="0" fillId="0" borderId="0" xfId="0" applyNumberFormat="1"/>
    <xf numFmtId="4" fontId="11" fillId="3" borderId="0" xfId="0" applyNumberFormat="1" applyFont="1" applyFill="1"/>
    <xf numFmtId="3" fontId="4" fillId="0" borderId="0" xfId="0" applyNumberFormat="1" applyFont="1"/>
    <xf numFmtId="3" fontId="6" fillId="3" borderId="0" xfId="0" applyNumberFormat="1" applyFont="1" applyFill="1"/>
    <xf numFmtId="3" fontId="5" fillId="0" borderId="0" xfId="0" applyNumberFormat="1" applyFont="1"/>
    <xf numFmtId="1" fontId="5" fillId="0" borderId="0" xfId="0" applyNumberFormat="1" applyFont="1"/>
    <xf numFmtId="0" fontId="7" fillId="0" borderId="0" xfId="0" applyFont="1" applyAlignment="1">
      <alignment horizontal="right"/>
    </xf>
    <xf numFmtId="4" fontId="6" fillId="3" borderId="0" xfId="0" applyNumberFormat="1" applyFont="1" applyFill="1"/>
    <xf numFmtId="4" fontId="6" fillId="0" borderId="0" xfId="0" applyNumberFormat="1" applyFont="1"/>
    <xf numFmtId="9" fontId="4" fillId="0" borderId="0" xfId="1" applyFont="1"/>
    <xf numFmtId="0" fontId="0" fillId="0" borderId="1" xfId="0" applyBorder="1"/>
    <xf numFmtId="0" fontId="15" fillId="7" borderId="0" xfId="0" applyFont="1" applyFill="1"/>
    <xf numFmtId="0" fontId="17" fillId="0" borderId="0" xfId="0" applyFont="1"/>
    <xf numFmtId="0" fontId="18" fillId="0" borderId="0" xfId="0" applyFont="1"/>
    <xf numFmtId="0" fontId="16" fillId="0" borderId="0" xfId="0" applyFont="1" applyAlignment="1">
      <alignment horizontal="left"/>
    </xf>
    <xf numFmtId="0" fontId="18" fillId="9" borderId="2" xfId="0" applyFont="1" applyFill="1" applyBorder="1"/>
    <xf numFmtId="0" fontId="16" fillId="10" borderId="0" xfId="0" applyFont="1" applyFill="1"/>
    <xf numFmtId="0" fontId="19" fillId="7" borderId="0" xfId="0" applyFont="1" applyFill="1"/>
    <xf numFmtId="0" fontId="21" fillId="9" borderId="2" xfId="0" applyFont="1" applyFill="1" applyBorder="1"/>
    <xf numFmtId="0" fontId="20" fillId="10" borderId="0" xfId="0" applyFont="1" applyFill="1"/>
    <xf numFmtId="3" fontId="5" fillId="3" borderId="0" xfId="0" applyNumberFormat="1" applyFont="1" applyFill="1"/>
    <xf numFmtId="0" fontId="18" fillId="0" borderId="2" xfId="0" applyFont="1" applyBorder="1"/>
    <xf numFmtId="0" fontId="21" fillId="3" borderId="2" xfId="0" applyFont="1" applyFill="1" applyBorder="1"/>
    <xf numFmtId="1" fontId="0" fillId="0" borderId="3" xfId="0" applyNumberFormat="1" applyBorder="1"/>
    <xf numFmtId="0" fontId="6" fillId="3" borderId="0" xfId="0" applyFont="1" applyFill="1" applyAlignment="1">
      <alignment horizontal="left" vertical="top"/>
    </xf>
    <xf numFmtId="0" fontId="22" fillId="0" borderId="0" xfId="0" applyFont="1"/>
    <xf numFmtId="0" fontId="16" fillId="0" borderId="0" xfId="0" applyFont="1"/>
    <xf numFmtId="0" fontId="23" fillId="7" borderId="0" xfId="0" applyFont="1" applyFill="1"/>
    <xf numFmtId="3" fontId="16" fillId="0" borderId="0" xfId="0" applyNumberFormat="1" applyFont="1"/>
    <xf numFmtId="3" fontId="18" fillId="0" borderId="2" xfId="0" applyNumberFormat="1" applyFont="1" applyBorder="1"/>
    <xf numFmtId="4" fontId="16" fillId="0" borderId="0" xfId="0" applyNumberFormat="1" applyFont="1"/>
    <xf numFmtId="10" fontId="16" fillId="8" borderId="0" xfId="0" applyNumberFormat="1" applyFont="1" applyFill="1"/>
    <xf numFmtId="4" fontId="16" fillId="8" borderId="0" xfId="0" applyNumberFormat="1" applyFont="1" applyFill="1"/>
    <xf numFmtId="4" fontId="15" fillId="7" borderId="0" xfId="0" applyNumberFormat="1" applyFont="1" applyFill="1"/>
    <xf numFmtId="0" fontId="16" fillId="0" borderId="2" xfId="0" applyFont="1" applyBorder="1"/>
    <xf numFmtId="0" fontId="5" fillId="0" borderId="0" xfId="0" applyFont="1"/>
    <xf numFmtId="1" fontId="21" fillId="9" borderId="2" xfId="0" applyNumberFormat="1" applyFont="1" applyFill="1" applyBorder="1"/>
    <xf numFmtId="0" fontId="0" fillId="0" borderId="4" xfId="0" applyBorder="1"/>
    <xf numFmtId="0" fontId="24" fillId="0" borderId="0" xfId="0" applyFont="1"/>
    <xf numFmtId="10" fontId="0" fillId="0" borderId="0" xfId="0" applyNumberFormat="1"/>
    <xf numFmtId="1" fontId="17" fillId="0" borderId="0" xfId="0" applyNumberFormat="1" applyFont="1"/>
    <xf numFmtId="0" fontId="26" fillId="0" borderId="0" xfId="0" applyFont="1"/>
    <xf numFmtId="3" fontId="26" fillId="0" borderId="0" xfId="0" applyNumberFormat="1" applyFont="1"/>
    <xf numFmtId="0" fontId="25" fillId="0" borderId="0" xfId="3" applyNumberFormat="1"/>
    <xf numFmtId="164" fontId="0" fillId="0" borderId="0" xfId="0" applyNumberFormat="1"/>
    <xf numFmtId="9" fontId="0" fillId="0" borderId="3" xfId="0" applyNumberFormat="1" applyBorder="1"/>
    <xf numFmtId="3" fontId="0" fillId="0" borderId="0" xfId="0" applyNumberFormat="1" applyAlignment="1">
      <alignment horizontal="right"/>
    </xf>
    <xf numFmtId="0" fontId="21" fillId="0" borderId="2" xfId="0" applyFont="1" applyBorder="1"/>
    <xf numFmtId="165" fontId="0" fillId="0" borderId="0" xfId="2" applyNumberFormat="1" applyFont="1"/>
    <xf numFmtId="165" fontId="0" fillId="0" borderId="0" xfId="0" applyNumberFormat="1"/>
    <xf numFmtId="166" fontId="0" fillId="0" borderId="0" xfId="0" applyNumberFormat="1"/>
    <xf numFmtId="0" fontId="2" fillId="0" borderId="0" xfId="0" applyFont="1"/>
    <xf numFmtId="0" fontId="9" fillId="4" borderId="0" xfId="0" applyFont="1" applyFill="1" applyAlignment="1">
      <alignment horizontal="center"/>
    </xf>
    <xf numFmtId="0" fontId="15" fillId="7" borderId="0" xfId="0" applyFont="1" applyFill="1" applyAlignment="1">
      <alignment horizontal="center"/>
    </xf>
    <xf numFmtId="0" fontId="22" fillId="0" borderId="0" xfId="0" applyFont="1"/>
    <xf numFmtId="0" fontId="15" fillId="7" borderId="0" xfId="0" applyFont="1" applyFill="1" applyAlignment="1">
      <alignment horizontal="center" vertical="center" textRotation="90"/>
    </xf>
    <xf numFmtId="0" fontId="3" fillId="3" borderId="0" xfId="0" applyFont="1" applyFill="1"/>
    <xf numFmtId="0" fontId="27" fillId="4" borderId="0" xfId="0" applyFont="1" applyFill="1" applyAlignment="1">
      <alignment horizontal="center"/>
    </xf>
    <xf numFmtId="1" fontId="5" fillId="3" borderId="3" xfId="0" applyNumberFormat="1" applyFont="1" applyFill="1" applyBorder="1"/>
    <xf numFmtId="1" fontId="3" fillId="6" borderId="3" xfId="0" applyNumberFormat="1" applyFont="1" applyFill="1" applyBorder="1"/>
    <xf numFmtId="9" fontId="26" fillId="0" borderId="0" xfId="1" applyFont="1"/>
    <xf numFmtId="0" fontId="26" fillId="0" borderId="0" xfId="1" applyNumberFormat="1" applyFont="1"/>
    <xf numFmtId="0" fontId="0" fillId="0" borderId="0" xfId="1" applyNumberFormat="1" applyFont="1"/>
    <xf numFmtId="2" fontId="26" fillId="0" borderId="0" xfId="1" applyNumberFormat="1" applyFont="1"/>
    <xf numFmtId="2" fontId="3" fillId="0" borderId="0" xfId="0" applyNumberFormat="1" applyFont="1"/>
    <xf numFmtId="0" fontId="14" fillId="0" borderId="0" xfId="0" applyFont="1"/>
    <xf numFmtId="2" fontId="4" fillId="0" borderId="0" xfId="0" applyNumberFormat="1" applyFont="1"/>
    <xf numFmtId="4" fontId="14" fillId="0" borderId="0" xfId="0" applyNumberFormat="1" applyFont="1"/>
    <xf numFmtId="4" fontId="28" fillId="0" borderId="0" xfId="0" applyNumberFormat="1" applyFont="1"/>
  </cellXfs>
  <cellStyles count="4">
    <cellStyle name="Comma" xfId="2" builtinId="3"/>
    <cellStyle name="Hyperlink" xfId="3" builtinId="8"/>
    <cellStyle name="Normal" xfId="0" builtinId="0"/>
    <cellStyle name="Per 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0</xdr:rowOff>
    </xdr:from>
    <xdr:to>
      <xdr:col>0</xdr:col>
      <xdr:colOff>63500</xdr:colOff>
      <xdr:row>1</xdr:row>
      <xdr:rowOff>63500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969365B5-3EF9-5F23-7CFB-1B547BBA509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03200"/>
          <a:ext cx="63500" cy="63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</xdr:row>
      <xdr:rowOff>0</xdr:rowOff>
    </xdr:from>
    <xdr:to>
      <xdr:col>0</xdr:col>
      <xdr:colOff>101600</xdr:colOff>
      <xdr:row>1</xdr:row>
      <xdr:rowOff>101600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19CF5E-0A92-D9AA-1A99-8872E6F9EB4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03200"/>
          <a:ext cx="101600" cy="101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2</xdr:row>
      <xdr:rowOff>0</xdr:rowOff>
    </xdr:from>
    <xdr:to>
      <xdr:col>0</xdr:col>
      <xdr:colOff>101600</xdr:colOff>
      <xdr:row>2</xdr:row>
      <xdr:rowOff>101600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8458D133-75F1-669A-0A27-FDFFC4DF693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06400"/>
          <a:ext cx="101600" cy="101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2</xdr:row>
      <xdr:rowOff>0</xdr:rowOff>
    </xdr:from>
    <xdr:to>
      <xdr:col>0</xdr:col>
      <xdr:colOff>101600</xdr:colOff>
      <xdr:row>2</xdr:row>
      <xdr:rowOff>101600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125A655C-904E-E1A9-CB28-28453F42C5A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06400"/>
          <a:ext cx="101600" cy="101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2</xdr:row>
      <xdr:rowOff>0</xdr:rowOff>
    </xdr:from>
    <xdr:to>
      <xdr:col>0</xdr:col>
      <xdr:colOff>101600</xdr:colOff>
      <xdr:row>2</xdr:row>
      <xdr:rowOff>101600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DE5C9799-1586-8DE4-2A10-DFC0C08B427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06400"/>
          <a:ext cx="101600" cy="101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2</xdr:row>
      <xdr:rowOff>0</xdr:rowOff>
    </xdr:from>
    <xdr:to>
      <xdr:col>0</xdr:col>
      <xdr:colOff>101600</xdr:colOff>
      <xdr:row>2</xdr:row>
      <xdr:rowOff>101600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6ED8EAC2-D911-5837-6414-46C6D1291FA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06400"/>
          <a:ext cx="101600" cy="101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2</xdr:row>
      <xdr:rowOff>0</xdr:rowOff>
    </xdr:from>
    <xdr:to>
      <xdr:col>0</xdr:col>
      <xdr:colOff>101600</xdr:colOff>
      <xdr:row>2</xdr:row>
      <xdr:rowOff>101600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8191623D-DE48-464C-BFA4-537DF9D4512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06400"/>
          <a:ext cx="101600" cy="101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2</xdr:row>
      <xdr:rowOff>0</xdr:rowOff>
    </xdr:from>
    <xdr:to>
      <xdr:col>0</xdr:col>
      <xdr:colOff>101600</xdr:colOff>
      <xdr:row>2</xdr:row>
      <xdr:rowOff>101600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3FEDBE5-2B5F-0048-5054-2A8AC152CB4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06400"/>
          <a:ext cx="101600" cy="101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2</xdr:row>
      <xdr:rowOff>0</xdr:rowOff>
    </xdr:from>
    <xdr:to>
      <xdr:col>0</xdr:col>
      <xdr:colOff>101600</xdr:colOff>
      <xdr:row>2</xdr:row>
      <xdr:rowOff>101600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47402D52-8A9F-E211-5EB8-88EB02C15A9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06400"/>
          <a:ext cx="101600" cy="101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0</xdr:colOff>
      <xdr:row>29</xdr:row>
      <xdr:rowOff>0</xdr:rowOff>
    </xdr:from>
    <xdr:to>
      <xdr:col>5</xdr:col>
      <xdr:colOff>304800</xdr:colOff>
      <xdr:row>30</xdr:row>
      <xdr:rowOff>101600</xdr:rowOff>
    </xdr:to>
    <xdr:sp macro="" textlink="">
      <xdr:nvSpPr>
        <xdr:cNvPr id="11265" name="AutoShape 1" descr="WACC= \frac {{\sum ^N _{i=1}}{r_i \cdot MV_i}} {{\sum ^N _{i=1}MV_i}}">
          <a:extLst>
            <a:ext uri="{FF2B5EF4-FFF2-40B4-BE49-F238E27FC236}">
              <a16:creationId xmlns:a16="http://schemas.microsoft.com/office/drawing/2014/main" id="{057E88EB-CBB0-FE87-B47C-0D91C2C71EE7}"/>
            </a:ext>
          </a:extLst>
        </xdr:cNvPr>
        <xdr:cNvSpPr>
          <a:spLocks noChangeAspect="1" noChangeArrowheads="1"/>
        </xdr:cNvSpPr>
      </xdr:nvSpPr>
      <xdr:spPr bwMode="auto">
        <a:xfrm>
          <a:off x="7099300" y="5892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28</xdr:row>
      <xdr:rowOff>0</xdr:rowOff>
    </xdr:from>
    <xdr:to>
      <xdr:col>4</xdr:col>
      <xdr:colOff>304800</xdr:colOff>
      <xdr:row>29</xdr:row>
      <xdr:rowOff>101600</xdr:rowOff>
    </xdr:to>
    <xdr:sp macro="" textlink="">
      <xdr:nvSpPr>
        <xdr:cNvPr id="11266" name="AutoShape 2" descr="WACC= \frac {{\sum ^N _{i=1}}{r_i \cdot MV_i}} {{\sum ^N _{i=1}MV_i}}">
          <a:extLst>
            <a:ext uri="{FF2B5EF4-FFF2-40B4-BE49-F238E27FC236}">
              <a16:creationId xmlns:a16="http://schemas.microsoft.com/office/drawing/2014/main" id="{3251085E-B75D-7E53-C384-1426F59D91D2}"/>
            </a:ext>
          </a:extLst>
        </xdr:cNvPr>
        <xdr:cNvSpPr>
          <a:spLocks noChangeAspect="1" noChangeArrowheads="1"/>
        </xdr:cNvSpPr>
      </xdr:nvSpPr>
      <xdr:spPr bwMode="auto">
        <a:xfrm>
          <a:off x="6210300" y="5689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B1D212-3878-0A49-BB73-82117D6687FE}">
  <dimension ref="A1:F56"/>
  <sheetViews>
    <sheetView workbookViewId="0">
      <selection activeCell="A9" sqref="A9"/>
    </sheetView>
  </sheetViews>
  <sheetFormatPr baseColWidth="10" defaultRowHeight="16"/>
  <cols>
    <col min="1" max="1" width="48.5" bestFit="1" customWidth="1"/>
  </cols>
  <sheetData>
    <row r="1" spans="1:6">
      <c r="A1" s="2" t="s">
        <v>99</v>
      </c>
      <c r="B1" s="2" t="s">
        <v>1</v>
      </c>
    </row>
    <row r="2" spans="1:6">
      <c r="A2" s="2"/>
      <c r="B2" s="2" t="s">
        <v>90</v>
      </c>
      <c r="C2" s="2" t="s">
        <v>89</v>
      </c>
      <c r="D2" s="2" t="s">
        <v>88</v>
      </c>
      <c r="E2" s="2" t="s">
        <v>87</v>
      </c>
      <c r="F2" s="2" t="s">
        <v>86</v>
      </c>
    </row>
    <row r="3" spans="1:6">
      <c r="A3" s="1"/>
    </row>
    <row r="4" spans="1:6">
      <c r="A4" s="2" t="s">
        <v>100</v>
      </c>
      <c r="C4" s="2"/>
      <c r="D4" s="2"/>
      <c r="E4" s="2"/>
      <c r="F4" s="2"/>
    </row>
    <row r="5" spans="1:6">
      <c r="A5" s="1" t="s">
        <v>101</v>
      </c>
      <c r="B5" s="1">
        <v>1</v>
      </c>
      <c r="C5" s="1">
        <v>1</v>
      </c>
      <c r="D5" s="1">
        <v>1</v>
      </c>
      <c r="E5" s="1">
        <v>1</v>
      </c>
      <c r="F5" s="1">
        <v>1</v>
      </c>
    </row>
    <row r="6" spans="1:6">
      <c r="A6" s="1" t="s">
        <v>102</v>
      </c>
      <c r="B6" s="1" t="s">
        <v>103</v>
      </c>
      <c r="C6" s="1" t="s">
        <v>103</v>
      </c>
      <c r="D6" s="1" t="s">
        <v>103</v>
      </c>
      <c r="E6" s="1" t="s">
        <v>103</v>
      </c>
      <c r="F6" s="1" t="s">
        <v>103</v>
      </c>
    </row>
    <row r="7" spans="1:6">
      <c r="A7" s="1" t="s">
        <v>104</v>
      </c>
      <c r="B7" s="1">
        <v>169.86</v>
      </c>
      <c r="C7" s="1">
        <v>105.28</v>
      </c>
      <c r="D7" s="1">
        <v>112.22</v>
      </c>
      <c r="E7" s="1">
        <v>125.83</v>
      </c>
      <c r="F7" s="1">
        <v>145</v>
      </c>
    </row>
    <row r="8" spans="1:6">
      <c r="A8" s="1" t="s">
        <v>105</v>
      </c>
      <c r="B8" s="1">
        <v>643.08000000000004</v>
      </c>
      <c r="C8" s="1">
        <v>390.32</v>
      </c>
      <c r="D8" s="1">
        <v>418.26</v>
      </c>
      <c r="E8" s="1">
        <v>443.84</v>
      </c>
      <c r="F8" s="1">
        <v>524.04999999999995</v>
      </c>
    </row>
    <row r="9" spans="1:6">
      <c r="A9" s="1" t="s">
        <v>106</v>
      </c>
      <c r="B9" s="1" t="s">
        <v>103</v>
      </c>
      <c r="C9" s="1" t="s">
        <v>103</v>
      </c>
      <c r="D9" s="1" t="s">
        <v>103</v>
      </c>
      <c r="E9" s="1" t="s">
        <v>103</v>
      </c>
      <c r="F9" s="1" t="s">
        <v>103</v>
      </c>
    </row>
    <row r="10" spans="1:6">
      <c r="A10" s="1" t="s">
        <v>107</v>
      </c>
      <c r="B10" s="1">
        <v>79.13</v>
      </c>
      <c r="C10" s="1">
        <v>91.35</v>
      </c>
      <c r="D10" s="1">
        <v>91.35</v>
      </c>
      <c r="E10" s="1">
        <v>91.35</v>
      </c>
      <c r="F10" s="1">
        <v>91.35</v>
      </c>
    </row>
    <row r="11" spans="1:6">
      <c r="A11" s="2" t="s">
        <v>108</v>
      </c>
      <c r="C11" s="2"/>
      <c r="D11" s="2"/>
      <c r="E11" s="2"/>
      <c r="F11" s="2"/>
    </row>
    <row r="12" spans="1:6">
      <c r="A12" s="1" t="s">
        <v>109</v>
      </c>
      <c r="B12" s="1">
        <v>26.41</v>
      </c>
      <c r="C12" s="1">
        <v>26.97</v>
      </c>
      <c r="D12" s="1">
        <v>26.82</v>
      </c>
      <c r="E12" s="1">
        <v>28.35</v>
      </c>
      <c r="F12" s="1">
        <v>27.66</v>
      </c>
    </row>
    <row r="13" spans="1:6">
      <c r="A13" s="25" t="s">
        <v>110</v>
      </c>
      <c r="B13" s="1">
        <v>24.06</v>
      </c>
      <c r="C13" s="1">
        <v>24.83</v>
      </c>
      <c r="D13" s="1">
        <v>23.88</v>
      </c>
      <c r="E13" s="1">
        <v>25.39</v>
      </c>
      <c r="F13" s="1">
        <v>24.74</v>
      </c>
    </row>
    <row r="14" spans="1:6">
      <c r="A14" s="1" t="s">
        <v>111</v>
      </c>
      <c r="B14" s="1">
        <v>24.77</v>
      </c>
      <c r="C14" s="1">
        <v>25.56</v>
      </c>
      <c r="D14" s="1">
        <v>24.58</v>
      </c>
      <c r="E14" s="1">
        <v>25.87</v>
      </c>
      <c r="F14" s="1">
        <v>25.26</v>
      </c>
    </row>
    <row r="15" spans="1:6">
      <c r="A15" s="1" t="s">
        <v>112</v>
      </c>
      <c r="B15" s="1">
        <v>22</v>
      </c>
      <c r="C15" s="1">
        <v>22.29</v>
      </c>
      <c r="D15" s="1">
        <v>22.27</v>
      </c>
      <c r="E15" s="1">
        <v>22.61</v>
      </c>
      <c r="F15" s="1">
        <v>21.99</v>
      </c>
    </row>
    <row r="16" spans="1:6">
      <c r="A16" s="1" t="s">
        <v>113</v>
      </c>
      <c r="B16" s="1">
        <v>22</v>
      </c>
      <c r="C16" s="1">
        <v>22.29</v>
      </c>
      <c r="D16" s="1">
        <v>22.27</v>
      </c>
      <c r="E16" s="1">
        <v>22.61</v>
      </c>
      <c r="F16" s="1">
        <v>21.99</v>
      </c>
    </row>
    <row r="17" spans="1:6">
      <c r="A17" s="1" t="s">
        <v>114</v>
      </c>
      <c r="B17" s="1">
        <v>20.97</v>
      </c>
      <c r="C17" s="1">
        <v>21.48</v>
      </c>
      <c r="D17" s="1">
        <v>20.6</v>
      </c>
      <c r="E17" s="1">
        <v>19.75</v>
      </c>
      <c r="F17" s="1">
        <v>19.98</v>
      </c>
    </row>
    <row r="18" spans="1:6">
      <c r="A18" s="1" t="s">
        <v>115</v>
      </c>
      <c r="B18" s="1">
        <v>20.37</v>
      </c>
      <c r="C18" s="1">
        <v>20.87</v>
      </c>
      <c r="D18" s="1">
        <v>20.010000000000002</v>
      </c>
      <c r="E18" s="1">
        <v>19.38</v>
      </c>
      <c r="F18" s="1">
        <v>19.57</v>
      </c>
    </row>
    <row r="19" spans="1:6">
      <c r="A19" s="1" t="s">
        <v>116</v>
      </c>
      <c r="B19" s="1">
        <v>39.99</v>
      </c>
      <c r="C19" s="1">
        <v>46.66</v>
      </c>
      <c r="D19" s="1">
        <v>51.31</v>
      </c>
      <c r="E19" s="1">
        <v>52.77</v>
      </c>
      <c r="F19" s="1">
        <v>57.92</v>
      </c>
    </row>
    <row r="20" spans="1:6">
      <c r="A20" s="1" t="s">
        <v>117</v>
      </c>
      <c r="B20" s="1">
        <v>30.33</v>
      </c>
      <c r="C20" s="1">
        <v>35.18</v>
      </c>
      <c r="D20" s="1">
        <v>38.44</v>
      </c>
      <c r="E20" s="1">
        <v>37.520000000000003</v>
      </c>
      <c r="F20" s="1">
        <v>42.99</v>
      </c>
    </row>
    <row r="21" spans="1:6">
      <c r="A21" s="1" t="s">
        <v>118</v>
      </c>
      <c r="B21" s="1">
        <v>30.4</v>
      </c>
      <c r="C21" s="1">
        <v>35.28</v>
      </c>
      <c r="D21" s="1">
        <v>38.56</v>
      </c>
      <c r="E21" s="1">
        <v>39.08</v>
      </c>
      <c r="F21" s="1">
        <v>43.13</v>
      </c>
    </row>
    <row r="22" spans="1:6">
      <c r="A22" s="1" t="s">
        <v>119</v>
      </c>
      <c r="B22" s="1">
        <v>446.8</v>
      </c>
      <c r="C22" s="1">
        <v>239.58</v>
      </c>
      <c r="D22" s="1">
        <v>225.85</v>
      </c>
      <c r="E22" s="1">
        <v>235.49</v>
      </c>
      <c r="F22" s="1">
        <v>245.54</v>
      </c>
    </row>
    <row r="23" spans="1:6">
      <c r="A23" s="1" t="s">
        <v>120</v>
      </c>
      <c r="B23" s="1">
        <v>446.8</v>
      </c>
      <c r="C23" s="1">
        <v>239.58</v>
      </c>
      <c r="D23" s="1">
        <v>225.85</v>
      </c>
      <c r="E23" s="1">
        <v>235.49</v>
      </c>
      <c r="F23" s="1">
        <v>245.54</v>
      </c>
    </row>
    <row r="24" spans="1:6">
      <c r="A24" s="1" t="s">
        <v>121</v>
      </c>
      <c r="B24" s="1">
        <v>40.08</v>
      </c>
      <c r="C24" s="1">
        <v>46.66</v>
      </c>
      <c r="D24" s="1">
        <v>51.31</v>
      </c>
      <c r="E24" s="1">
        <v>52.77</v>
      </c>
      <c r="F24" s="1">
        <v>58.86</v>
      </c>
    </row>
    <row r="25" spans="1:6">
      <c r="A25" s="2" t="s">
        <v>122</v>
      </c>
      <c r="C25" s="2"/>
      <c r="D25" s="2"/>
      <c r="E25" s="2"/>
      <c r="F25" s="2"/>
    </row>
    <row r="26" spans="1:6">
      <c r="A26" s="1" t="s">
        <v>123</v>
      </c>
      <c r="B26" s="1">
        <v>2.75</v>
      </c>
      <c r="C26" s="1">
        <v>2.89</v>
      </c>
      <c r="D26" s="1">
        <v>2.0099999999999998</v>
      </c>
      <c r="E26" s="1">
        <v>1.82</v>
      </c>
      <c r="F26" s="1">
        <v>1.71</v>
      </c>
    </row>
    <row r="27" spans="1:6">
      <c r="A27" s="1" t="s">
        <v>124</v>
      </c>
      <c r="B27" s="1">
        <v>2.61</v>
      </c>
      <c r="C27" s="1">
        <v>2.79</v>
      </c>
      <c r="D27" s="1">
        <v>1.93</v>
      </c>
      <c r="E27" s="1">
        <v>1.73</v>
      </c>
      <c r="F27" s="1">
        <v>1.64</v>
      </c>
    </row>
    <row r="28" spans="1:6">
      <c r="A28" s="1" t="s">
        <v>125</v>
      </c>
      <c r="B28" s="1" t="s">
        <v>103</v>
      </c>
      <c r="C28" s="1" t="s">
        <v>103</v>
      </c>
      <c r="D28" s="1" t="s">
        <v>103</v>
      </c>
      <c r="E28" s="1" t="s">
        <v>103</v>
      </c>
      <c r="F28" s="1">
        <v>0.02</v>
      </c>
    </row>
    <row r="29" spans="1:6">
      <c r="A29" s="1" t="s">
        <v>126</v>
      </c>
      <c r="B29" s="1" t="s">
        <v>103</v>
      </c>
      <c r="C29" s="1" t="s">
        <v>103</v>
      </c>
      <c r="D29" s="1" t="s">
        <v>103</v>
      </c>
      <c r="E29" s="1" t="s">
        <v>103</v>
      </c>
      <c r="F29" s="1" t="s">
        <v>103</v>
      </c>
    </row>
    <row r="30" spans="1:6">
      <c r="A30" s="2" t="s">
        <v>127</v>
      </c>
      <c r="C30" s="2"/>
      <c r="D30" s="2"/>
      <c r="E30" s="2"/>
      <c r="F30" s="2"/>
    </row>
    <row r="31" spans="1:6">
      <c r="A31" s="1" t="s">
        <v>128</v>
      </c>
      <c r="B31" s="1">
        <v>656.62</v>
      </c>
      <c r="C31" s="1">
        <v>210.91</v>
      </c>
      <c r="D31" s="1">
        <v>46.72</v>
      </c>
      <c r="E31" s="1">
        <v>71.61</v>
      </c>
      <c r="F31" s="1">
        <v>66.930000000000007</v>
      </c>
    </row>
    <row r="32" spans="1:6">
      <c r="A32" s="1" t="s">
        <v>129</v>
      </c>
      <c r="B32" s="1">
        <v>0</v>
      </c>
      <c r="C32" s="1">
        <v>0</v>
      </c>
      <c r="D32" s="1" t="s">
        <v>103</v>
      </c>
      <c r="E32" s="1" t="s">
        <v>103</v>
      </c>
      <c r="F32" s="1" t="s">
        <v>103</v>
      </c>
    </row>
    <row r="33" spans="1:6">
      <c r="A33" s="1" t="s">
        <v>130</v>
      </c>
      <c r="B33" s="1">
        <v>695.35</v>
      </c>
      <c r="C33" s="1">
        <v>221.3</v>
      </c>
      <c r="D33" s="1">
        <v>50.54</v>
      </c>
      <c r="E33" s="1">
        <v>77.989999999999995</v>
      </c>
      <c r="F33" s="1">
        <v>72.8</v>
      </c>
    </row>
    <row r="34" spans="1:6">
      <c r="A34" s="1" t="s">
        <v>131</v>
      </c>
      <c r="B34" s="1">
        <v>536.38</v>
      </c>
      <c r="C34" s="1">
        <v>170.33</v>
      </c>
      <c r="D34" s="1">
        <v>39.82</v>
      </c>
      <c r="E34" s="1">
        <v>58.29</v>
      </c>
      <c r="F34" s="1">
        <v>55.76</v>
      </c>
    </row>
    <row r="35" spans="1:6">
      <c r="A35" s="2" t="s">
        <v>132</v>
      </c>
      <c r="C35" s="2"/>
      <c r="D35" s="2"/>
      <c r="E35" s="2"/>
      <c r="F35" s="2"/>
    </row>
    <row r="36" spans="1:6">
      <c r="A36" s="1" t="s">
        <v>133</v>
      </c>
      <c r="B36" s="4">
        <v>4734.7700000000004</v>
      </c>
      <c r="C36" s="4">
        <v>14646.3</v>
      </c>
      <c r="D36" s="4">
        <v>31389.8</v>
      </c>
      <c r="E36" s="4">
        <v>20522.13</v>
      </c>
      <c r="F36" s="4">
        <v>9587.7000000000007</v>
      </c>
    </row>
    <row r="37" spans="1:6">
      <c r="A37" s="1" t="s">
        <v>134</v>
      </c>
      <c r="B37" s="1">
        <v>5.18</v>
      </c>
      <c r="C37" s="1">
        <v>5.6</v>
      </c>
      <c r="D37" s="1">
        <v>5.42</v>
      </c>
      <c r="E37" s="1">
        <v>5.42</v>
      </c>
      <c r="F37" s="1">
        <v>5.33</v>
      </c>
    </row>
    <row r="38" spans="1:6">
      <c r="A38" s="1" t="s">
        <v>135</v>
      </c>
      <c r="B38" s="4">
        <v>4734.7700000000004</v>
      </c>
      <c r="C38" s="1">
        <v>1.64</v>
      </c>
      <c r="D38" s="1">
        <v>1.87</v>
      </c>
      <c r="E38" s="1">
        <v>1.9</v>
      </c>
      <c r="F38" s="1">
        <v>2.15</v>
      </c>
    </row>
    <row r="39" spans="1:6">
      <c r="A39" s="1" t="s">
        <v>136</v>
      </c>
      <c r="B39" s="1">
        <v>5.42</v>
      </c>
      <c r="C39" s="1">
        <v>5.97</v>
      </c>
      <c r="D39" s="1">
        <v>4.4000000000000004</v>
      </c>
      <c r="E39" s="1">
        <v>4.34</v>
      </c>
      <c r="F39" s="1">
        <v>9.26</v>
      </c>
    </row>
    <row r="40" spans="1:6">
      <c r="A40" s="1" t="s">
        <v>137</v>
      </c>
      <c r="B40" s="1">
        <v>1.47</v>
      </c>
      <c r="C40" s="1">
        <v>1.66</v>
      </c>
      <c r="D40" s="1">
        <v>1.9</v>
      </c>
      <c r="E40" s="1">
        <v>1.94</v>
      </c>
      <c r="F40" s="1">
        <v>2.14</v>
      </c>
    </row>
    <row r="41" spans="1:6">
      <c r="A41" s="1" t="s">
        <v>138</v>
      </c>
      <c r="B41" s="1">
        <v>1.43</v>
      </c>
      <c r="C41" s="1">
        <v>1.67</v>
      </c>
      <c r="D41" s="1">
        <v>1.8</v>
      </c>
      <c r="E41" s="1">
        <v>1.91</v>
      </c>
      <c r="F41" s="1">
        <v>2.17</v>
      </c>
    </row>
    <row r="42" spans="1:6">
      <c r="A42" s="1"/>
      <c r="B42" s="1"/>
      <c r="C42" s="1"/>
      <c r="D42" s="1"/>
      <c r="E42" s="1"/>
      <c r="F42" s="1"/>
    </row>
    <row r="43" spans="1:6">
      <c r="A43" s="1" t="s">
        <v>139</v>
      </c>
      <c r="B43" s="1" t="s">
        <v>103</v>
      </c>
      <c r="C43" s="1" t="s">
        <v>103</v>
      </c>
      <c r="D43" s="1" t="s">
        <v>103</v>
      </c>
      <c r="E43" s="1" t="s">
        <v>103</v>
      </c>
      <c r="F43" s="1" t="s">
        <v>103</v>
      </c>
    </row>
    <row r="44" spans="1:6">
      <c r="A44" s="1" t="s">
        <v>140</v>
      </c>
      <c r="B44" s="1" t="s">
        <v>103</v>
      </c>
      <c r="C44" s="1" t="s">
        <v>103</v>
      </c>
      <c r="D44" s="1" t="s">
        <v>103</v>
      </c>
      <c r="E44" s="1" t="s">
        <v>103</v>
      </c>
      <c r="F44" s="1" t="s">
        <v>103</v>
      </c>
    </row>
    <row r="45" spans="1:6">
      <c r="A45" s="1" t="s">
        <v>141</v>
      </c>
      <c r="B45" s="1">
        <v>53.22</v>
      </c>
      <c r="C45" s="1">
        <v>60.63</v>
      </c>
      <c r="D45" s="1">
        <v>30.99</v>
      </c>
      <c r="E45" s="1">
        <v>17.850000000000001</v>
      </c>
      <c r="F45" s="1">
        <v>15.18</v>
      </c>
    </row>
    <row r="46" spans="1:6">
      <c r="A46" s="2" t="s">
        <v>142</v>
      </c>
      <c r="C46" s="2"/>
      <c r="D46" s="2"/>
      <c r="E46" s="2"/>
      <c r="F46" s="2"/>
    </row>
    <row r="47" spans="1:6">
      <c r="A47" s="1" t="s">
        <v>143</v>
      </c>
      <c r="B47" s="1" t="s">
        <v>103</v>
      </c>
      <c r="C47" s="1" t="s">
        <v>103</v>
      </c>
      <c r="D47" s="1" t="s">
        <v>103</v>
      </c>
      <c r="E47" s="1" t="s">
        <v>103</v>
      </c>
      <c r="F47" s="1" t="s">
        <v>103</v>
      </c>
    </row>
    <row r="48" spans="1:6">
      <c r="A48" s="1" t="s">
        <v>144</v>
      </c>
      <c r="B48" s="1" t="s">
        <v>103</v>
      </c>
      <c r="C48" s="1" t="s">
        <v>103</v>
      </c>
      <c r="D48" s="1" t="s">
        <v>103</v>
      </c>
      <c r="E48" s="1" t="s">
        <v>103</v>
      </c>
      <c r="F48" s="1" t="s">
        <v>103</v>
      </c>
    </row>
    <row r="49" spans="1:6">
      <c r="A49" s="1" t="s">
        <v>145</v>
      </c>
      <c r="B49" s="1" t="s">
        <v>103</v>
      </c>
      <c r="C49" s="1" t="s">
        <v>103</v>
      </c>
      <c r="D49" s="1" t="s">
        <v>103</v>
      </c>
      <c r="E49" s="1" t="s">
        <v>103</v>
      </c>
      <c r="F49" s="1" t="s">
        <v>103</v>
      </c>
    </row>
    <row r="50" spans="1:6">
      <c r="A50" s="1" t="s">
        <v>146</v>
      </c>
      <c r="B50" s="1" t="s">
        <v>103</v>
      </c>
      <c r="C50" s="1" t="s">
        <v>103</v>
      </c>
      <c r="D50" s="1" t="s">
        <v>103</v>
      </c>
      <c r="E50" s="1" t="s">
        <v>103</v>
      </c>
      <c r="F50" s="1" t="s">
        <v>103</v>
      </c>
    </row>
    <row r="51" spans="1:6">
      <c r="A51" s="2" t="s">
        <v>147</v>
      </c>
      <c r="C51" s="2"/>
      <c r="D51" s="2"/>
      <c r="E51" s="2"/>
      <c r="F51" s="2"/>
    </row>
    <row r="52" spans="1:6">
      <c r="A52" s="1" t="s">
        <v>148</v>
      </c>
      <c r="B52" s="1">
        <v>41.53</v>
      </c>
      <c r="C52" s="1">
        <v>36.29</v>
      </c>
      <c r="D52" s="1">
        <v>116.36</v>
      </c>
      <c r="E52" s="1">
        <v>33.450000000000003</v>
      </c>
      <c r="F52" s="1">
        <v>34.74</v>
      </c>
    </row>
    <row r="53" spans="1:6">
      <c r="A53" s="1" t="s">
        <v>149</v>
      </c>
      <c r="B53" s="1">
        <v>38.520000000000003</v>
      </c>
      <c r="C53" s="1">
        <v>34.07</v>
      </c>
      <c r="D53" s="1">
        <v>104.92</v>
      </c>
      <c r="E53" s="1">
        <v>29.73</v>
      </c>
      <c r="F53" s="1">
        <v>31.01</v>
      </c>
    </row>
    <row r="54" spans="1:6">
      <c r="A54" s="1" t="s">
        <v>150</v>
      </c>
      <c r="B54" s="1">
        <v>58.56</v>
      </c>
      <c r="C54" s="1">
        <v>63.81</v>
      </c>
      <c r="D54" s="1">
        <v>-15.98</v>
      </c>
      <c r="E54" s="1">
        <v>67.89</v>
      </c>
      <c r="F54" s="1">
        <v>65.37</v>
      </c>
    </row>
    <row r="55" spans="1:6">
      <c r="A55" s="1" t="s">
        <v>151</v>
      </c>
      <c r="B55" s="1">
        <v>61.55</v>
      </c>
      <c r="C55" s="1">
        <v>66.02</v>
      </c>
      <c r="D55" s="1">
        <v>-4.5999999999999996</v>
      </c>
      <c r="E55" s="1">
        <v>71.34</v>
      </c>
      <c r="F55" s="1">
        <v>69.069999999999993</v>
      </c>
    </row>
    <row r="56" spans="1:6">
      <c r="A56" s="1" t="s">
        <v>152</v>
      </c>
      <c r="B56" s="1">
        <v>0.01</v>
      </c>
      <c r="C56" s="1">
        <v>0</v>
      </c>
      <c r="D56" s="1" t="s">
        <v>103</v>
      </c>
      <c r="E56" s="1" t="s">
        <v>103</v>
      </c>
      <c r="F56" s="1" t="s">
        <v>103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AFB775-EEA5-164A-B146-07926FA8DEA1}">
  <dimension ref="A1:F13"/>
  <sheetViews>
    <sheetView workbookViewId="0">
      <selection activeCell="F29" sqref="F29"/>
    </sheetView>
  </sheetViews>
  <sheetFormatPr baseColWidth="10" defaultRowHeight="16"/>
  <cols>
    <col min="1" max="1" width="54.33203125" bestFit="1" customWidth="1"/>
  </cols>
  <sheetData>
    <row r="1" spans="1:6">
      <c r="A1" s="6" t="s">
        <v>85</v>
      </c>
      <c r="B1" s="2" t="s">
        <v>1</v>
      </c>
    </row>
    <row r="2" spans="1:6">
      <c r="A2" s="2"/>
      <c r="B2" s="3">
        <v>43160</v>
      </c>
      <c r="C2" s="3">
        <v>43525</v>
      </c>
      <c r="D2" s="3">
        <v>43891</v>
      </c>
      <c r="E2" s="3">
        <v>44256</v>
      </c>
      <c r="F2" s="3">
        <v>44621</v>
      </c>
    </row>
    <row r="3" spans="1:6">
      <c r="A3" s="2"/>
    </row>
    <row r="4" spans="1:6">
      <c r="A4" s="2" t="s">
        <v>91</v>
      </c>
      <c r="B4" s="2">
        <v>25880</v>
      </c>
      <c r="C4" s="2">
        <v>31562</v>
      </c>
      <c r="D4" s="2">
        <v>32447</v>
      </c>
      <c r="E4" s="2">
        <v>32562</v>
      </c>
      <c r="F4" s="2">
        <v>38449</v>
      </c>
    </row>
    <row r="5" spans="1:6">
      <c r="A5" s="1" t="s">
        <v>92</v>
      </c>
      <c r="B5" s="1">
        <v>25067</v>
      </c>
      <c r="C5" s="1">
        <v>28593</v>
      </c>
      <c r="D5" s="1">
        <v>32369</v>
      </c>
      <c r="E5" s="1">
        <v>38802</v>
      </c>
      <c r="F5" s="1">
        <v>39949</v>
      </c>
    </row>
    <row r="6" spans="1:6">
      <c r="A6" s="1" t="s">
        <v>93</v>
      </c>
      <c r="B6" s="93">
        <v>2886</v>
      </c>
      <c r="C6" s="93">
        <v>1596</v>
      </c>
      <c r="D6" s="93">
        <v>8565</v>
      </c>
      <c r="E6" s="93">
        <v>-8129</v>
      </c>
      <c r="F6" s="93">
        <v>-897</v>
      </c>
    </row>
    <row r="7" spans="1:6">
      <c r="A7" s="1" t="s">
        <v>94</v>
      </c>
      <c r="B7" s="93"/>
      <c r="C7" s="93"/>
      <c r="D7" s="93"/>
      <c r="E7" s="93"/>
      <c r="F7" s="93"/>
    </row>
    <row r="8" spans="1:6">
      <c r="A8" s="1" t="s">
        <v>95</v>
      </c>
      <c r="B8" s="1">
        <v>-26885</v>
      </c>
      <c r="C8" s="1">
        <v>-27897</v>
      </c>
      <c r="D8" s="1">
        <v>-39915</v>
      </c>
      <c r="E8" s="1">
        <v>-32634</v>
      </c>
      <c r="F8" s="1">
        <v>-33581</v>
      </c>
    </row>
    <row r="9" spans="1:6">
      <c r="A9" s="2" t="s">
        <v>96</v>
      </c>
      <c r="B9" s="2">
        <v>1286</v>
      </c>
      <c r="C9" s="2">
        <v>2341</v>
      </c>
      <c r="D9" s="2">
        <v>1422</v>
      </c>
      <c r="E9" s="2">
        <v>-1788</v>
      </c>
      <c r="F9" s="2">
        <v>5630</v>
      </c>
    </row>
    <row r="10" spans="1:6">
      <c r="A10" s="1" t="s">
        <v>97</v>
      </c>
      <c r="B10" s="1">
        <v>3597</v>
      </c>
      <c r="C10" s="1">
        <v>4883</v>
      </c>
      <c r="D10" s="1">
        <v>7224</v>
      </c>
      <c r="E10" s="1">
        <v>8646</v>
      </c>
      <c r="F10" s="1">
        <v>6858</v>
      </c>
    </row>
    <row r="11" spans="1:6">
      <c r="A11" s="1" t="s">
        <v>98</v>
      </c>
      <c r="B11" s="1">
        <v>4883</v>
      </c>
      <c r="C11" s="1">
        <v>7224</v>
      </c>
      <c r="D11" s="1">
        <v>8646</v>
      </c>
      <c r="E11" s="1">
        <v>6858</v>
      </c>
      <c r="F11" s="1">
        <v>12488</v>
      </c>
    </row>
    <row r="13" spans="1:6">
      <c r="A13" s="25"/>
    </row>
  </sheetData>
  <mergeCells count="5">
    <mergeCell ref="F6:F7"/>
    <mergeCell ref="E6:E7"/>
    <mergeCell ref="D6:D7"/>
    <mergeCell ref="C6:C7"/>
    <mergeCell ref="B6:B7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877CF4-2873-A649-8002-E8CD149BAB9F}">
  <dimension ref="A1:L58"/>
  <sheetViews>
    <sheetView workbookViewId="0">
      <pane xSplit="1" ySplit="2" topLeftCell="B3" activePane="bottomRight" state="frozen"/>
      <selection activeCell="F29" sqref="F29"/>
      <selection pane="topRight" activeCell="F29" sqref="F29"/>
      <selection pane="bottomLeft" activeCell="F29" sqref="F29"/>
      <selection pane="bottomRight" activeCell="I30" sqref="I30"/>
    </sheetView>
  </sheetViews>
  <sheetFormatPr baseColWidth="10" defaultRowHeight="16"/>
  <cols>
    <col min="1" max="1" width="45.33203125" bestFit="1" customWidth="1"/>
    <col min="2" max="2" width="12.1640625" bestFit="1" customWidth="1"/>
    <col min="3" max="3" width="13.1640625" customWidth="1"/>
    <col min="4" max="6" width="12.1640625" bestFit="1" customWidth="1"/>
    <col min="7" max="11" width="12" bestFit="1" customWidth="1"/>
  </cols>
  <sheetData>
    <row r="1" spans="1:11">
      <c r="A1" s="6" t="s">
        <v>0</v>
      </c>
      <c r="C1" s="2" t="s">
        <v>1</v>
      </c>
    </row>
    <row r="2" spans="1:11">
      <c r="A2" s="2"/>
      <c r="B2" s="2">
        <v>2018</v>
      </c>
      <c r="C2" s="2">
        <f>B2+1</f>
        <v>2019</v>
      </c>
      <c r="D2" s="2">
        <f t="shared" ref="D2:F2" si="0">C2+1</f>
        <v>2020</v>
      </c>
      <c r="E2" s="2">
        <f t="shared" si="0"/>
        <v>2021</v>
      </c>
      <c r="F2" s="2">
        <f t="shared" si="0"/>
        <v>2022</v>
      </c>
      <c r="G2" s="2"/>
      <c r="H2" s="2"/>
      <c r="I2" s="2"/>
      <c r="J2" s="2"/>
      <c r="K2" s="2"/>
    </row>
    <row r="3" spans="1:11">
      <c r="A3" s="2" t="s">
        <v>2</v>
      </c>
      <c r="C3" s="2"/>
      <c r="D3" s="2"/>
      <c r="E3" s="2"/>
      <c r="F3" s="2"/>
    </row>
    <row r="4" spans="1:11">
      <c r="A4" s="2" t="s">
        <v>3</v>
      </c>
      <c r="C4" s="2"/>
      <c r="D4" s="2"/>
      <c r="E4" s="2"/>
      <c r="F4" s="2"/>
    </row>
    <row r="5" spans="1:11">
      <c r="A5" s="1" t="s">
        <v>4</v>
      </c>
      <c r="B5" s="107">
        <v>191</v>
      </c>
      <c r="C5" s="107">
        <v>375</v>
      </c>
      <c r="D5" s="107">
        <v>375</v>
      </c>
      <c r="E5" s="107">
        <v>370</v>
      </c>
      <c r="F5" s="107">
        <v>366</v>
      </c>
      <c r="G5" s="108">
        <f>F5*(1+'Assumption '!$E$52)</f>
        <v>366.78057399871989</v>
      </c>
      <c r="H5" s="108">
        <f>G5*(1+'Assumption '!$E$52)</f>
        <v>367.56281273997388</v>
      </c>
      <c r="I5" s="108">
        <f>H5*(1+'Assumption '!$E$52)</f>
        <v>368.34671977418475</v>
      </c>
      <c r="J5" s="108">
        <f>I5*(1+'Assumption '!$E$52)</f>
        <v>369.13229865934727</v>
      </c>
      <c r="K5" s="108">
        <f>J5*(1+'Assumption '!$E$52)</f>
        <v>369.91955296104453</v>
      </c>
    </row>
    <row r="6" spans="1:11">
      <c r="A6" s="2" t="s">
        <v>5</v>
      </c>
      <c r="B6" s="2">
        <f>SUM(B5)</f>
        <v>191</v>
      </c>
      <c r="C6" s="2">
        <f t="shared" ref="C6:K6" si="1">SUM(C5)</f>
        <v>375</v>
      </c>
      <c r="D6" s="2">
        <f t="shared" si="1"/>
        <v>375</v>
      </c>
      <c r="E6" s="2">
        <f t="shared" si="1"/>
        <v>370</v>
      </c>
      <c r="F6" s="2">
        <f t="shared" si="1"/>
        <v>366</v>
      </c>
      <c r="G6" s="106">
        <f t="shared" si="1"/>
        <v>366.78057399871989</v>
      </c>
      <c r="H6" s="106">
        <f t="shared" ref="H6:K6" si="2">SUM(H5)</f>
        <v>367.56281273997388</v>
      </c>
      <c r="I6" s="106">
        <f t="shared" si="2"/>
        <v>368.34671977418475</v>
      </c>
      <c r="J6" s="106">
        <f t="shared" si="2"/>
        <v>369.13229865934727</v>
      </c>
      <c r="K6" s="106">
        <f t="shared" si="2"/>
        <v>369.91955296104453</v>
      </c>
    </row>
    <row r="7" spans="1:11">
      <c r="A7" s="1" t="s">
        <v>6</v>
      </c>
      <c r="B7" s="109">
        <v>84937</v>
      </c>
      <c r="C7" s="109">
        <v>89071</v>
      </c>
      <c r="D7" s="109">
        <v>83751</v>
      </c>
      <c r="E7" s="109">
        <v>86063</v>
      </c>
      <c r="F7" s="109">
        <v>88773</v>
      </c>
      <c r="G7" s="108">
        <f>F7*(1+'Assumption '!$E$54)</f>
        <v>138821.23711435206</v>
      </c>
      <c r="H7" s="108">
        <f>G7*(1+'Assumption '!$E$54)</f>
        <v>217085.5538729023</v>
      </c>
      <c r="I7" s="108">
        <f>H7*(1+'Assumption '!$E$54)</f>
        <v>339473.54655458994</v>
      </c>
      <c r="J7" s="108">
        <f>I7*(1+'Assumption '!$E$54)</f>
        <v>530861.15936495061</v>
      </c>
      <c r="K7" s="108">
        <f>J7*(1+'Assumption '!$E$54)</f>
        <v>830148.8389375332</v>
      </c>
    </row>
    <row r="8" spans="1:11">
      <c r="A8" s="2" t="s">
        <v>7</v>
      </c>
      <c r="B8" s="5">
        <f>SUM(B7)</f>
        <v>84937</v>
      </c>
      <c r="C8" s="5">
        <f t="shared" ref="C8:K8" si="3">SUM(C7)</f>
        <v>89071</v>
      </c>
      <c r="D8" s="5">
        <f t="shared" si="3"/>
        <v>83751</v>
      </c>
      <c r="E8" s="5">
        <f t="shared" si="3"/>
        <v>86063</v>
      </c>
      <c r="F8" s="5">
        <f t="shared" si="3"/>
        <v>88773</v>
      </c>
      <c r="G8" s="106">
        <f t="shared" si="3"/>
        <v>138821.23711435206</v>
      </c>
      <c r="H8" s="106">
        <f t="shared" ref="H8:K8" si="4">SUM(H7)</f>
        <v>217085.5538729023</v>
      </c>
      <c r="I8" s="106">
        <f t="shared" si="4"/>
        <v>339473.54655458994</v>
      </c>
      <c r="J8" s="106">
        <f t="shared" si="4"/>
        <v>530861.15936495061</v>
      </c>
      <c r="K8" s="106">
        <f t="shared" si="4"/>
        <v>830148.8389375332</v>
      </c>
    </row>
    <row r="9" spans="1:11">
      <c r="A9" s="2" t="s">
        <v>8</v>
      </c>
      <c r="B9" s="5">
        <f>B8+B6</f>
        <v>85128</v>
      </c>
      <c r="C9" s="5">
        <f t="shared" ref="C9:K9" si="5">C8+C6</f>
        <v>89446</v>
      </c>
      <c r="D9" s="5">
        <f t="shared" si="5"/>
        <v>84126</v>
      </c>
      <c r="E9" s="5">
        <f t="shared" si="5"/>
        <v>86433</v>
      </c>
      <c r="F9" s="5">
        <f t="shared" si="5"/>
        <v>89139</v>
      </c>
      <c r="G9" s="106">
        <f t="shared" si="5"/>
        <v>139188.01768835078</v>
      </c>
      <c r="H9" s="106">
        <f t="shared" ref="H9:K9" si="6">H8+H6</f>
        <v>217453.11668564228</v>
      </c>
      <c r="I9" s="106">
        <f t="shared" si="6"/>
        <v>339841.89327436412</v>
      </c>
      <c r="J9" s="106">
        <f t="shared" si="6"/>
        <v>531230.29166360991</v>
      </c>
      <c r="K9" s="106">
        <f t="shared" si="6"/>
        <v>830518.75849049422</v>
      </c>
    </row>
    <row r="10" spans="1:11">
      <c r="A10" s="1" t="s">
        <v>9</v>
      </c>
      <c r="B10" s="107">
        <v>402</v>
      </c>
      <c r="C10" s="107">
        <v>453</v>
      </c>
      <c r="D10" s="107">
        <v>623</v>
      </c>
      <c r="E10" s="107">
        <v>675</v>
      </c>
      <c r="F10" s="107">
        <v>707</v>
      </c>
      <c r="G10" s="108">
        <f>F10*(1+'Assumption '!$E$51)</f>
        <v>709.56306407997033</v>
      </c>
      <c r="H10" s="108">
        <f>G10*(1+'Assumption '!$E$51)</f>
        <v>712.135419952696</v>
      </c>
      <c r="I10" s="108">
        <f>H10*(1+'Assumption '!$E$51)</f>
        <v>714.7171013034108</v>
      </c>
      <c r="J10" s="108">
        <f>I10*(1+'Assumption '!$E$51)</f>
        <v>717.3081419394664</v>
      </c>
      <c r="K10" s="108">
        <f>J10*(1+'Assumption '!$E$51)</f>
        <v>719.90857579077522</v>
      </c>
    </row>
    <row r="11" spans="1:11">
      <c r="A11" s="2" t="s">
        <v>10</v>
      </c>
      <c r="C11" s="2"/>
      <c r="D11" s="2"/>
      <c r="E11" s="2"/>
      <c r="F11" s="2"/>
      <c r="G11" s="23"/>
      <c r="H11" s="23"/>
      <c r="I11" s="23"/>
      <c r="J11" s="23"/>
      <c r="K11" s="23"/>
    </row>
    <row r="12" spans="1:11">
      <c r="A12" s="1" t="s">
        <v>11</v>
      </c>
      <c r="B12" s="107">
        <v>54</v>
      </c>
      <c r="C12" s="107">
        <v>44</v>
      </c>
      <c r="D12" s="107">
        <v>0</v>
      </c>
      <c r="E12" s="107">
        <v>0</v>
      </c>
      <c r="F12" s="107">
        <v>0</v>
      </c>
      <c r="G12" s="108">
        <f>F12*(1+'Assumption '!$E$46)</f>
        <v>0</v>
      </c>
      <c r="H12" s="108">
        <f>G12*(1+'Assumption '!$E$46)</f>
        <v>0</v>
      </c>
      <c r="I12" s="108">
        <f>H12*(1+'Assumption '!$E$46)</f>
        <v>0</v>
      </c>
      <c r="J12" s="108">
        <f>I12*(1+'Assumption '!$E$46)</f>
        <v>0</v>
      </c>
      <c r="K12" s="108">
        <f>J12*(1+'Assumption '!$E$46)</f>
        <v>0</v>
      </c>
    </row>
    <row r="13" spans="1:11">
      <c r="A13" s="25" t="s">
        <v>12</v>
      </c>
      <c r="B13" s="109">
        <v>1170</v>
      </c>
      <c r="C13" s="109">
        <v>1042</v>
      </c>
      <c r="D13" s="107">
        <v>779</v>
      </c>
      <c r="E13" s="107">
        <v>767</v>
      </c>
      <c r="F13" s="107">
        <v>590</v>
      </c>
      <c r="G13" s="108">
        <f>F13*(1+'Assumption '!$E$35)</f>
        <v>593.46101383141558</v>
      </c>
      <c r="H13" s="108">
        <f>G13*(1+'Assumption '!$E$35)</f>
        <v>596.94233040307063</v>
      </c>
      <c r="I13" s="108">
        <f>H13*(1+'Assumption '!$E$35)</f>
        <v>600.44406881337989</v>
      </c>
      <c r="J13" s="108">
        <f>I13*(1+'Assumption '!$E$35)</f>
        <v>603.96634885940455</v>
      </c>
      <c r="K13" s="108">
        <f>J13*(1+'Assumption '!$E$35)</f>
        <v>607.5092910409503</v>
      </c>
    </row>
    <row r="14" spans="1:11">
      <c r="A14" s="1" t="s">
        <v>13</v>
      </c>
      <c r="B14" s="109">
        <v>1688</v>
      </c>
      <c r="C14" s="109">
        <v>1874</v>
      </c>
      <c r="D14" s="109">
        <v>8311</v>
      </c>
      <c r="E14" s="109">
        <v>8729</v>
      </c>
      <c r="F14" s="109">
        <v>8727</v>
      </c>
      <c r="G14" s="108">
        <f>F14*(1+'Assumption '!$E$30)</f>
        <v>8846.6644788146623</v>
      </c>
      <c r="H14" s="108">
        <f>G14*(1+'Assumption '!$E$30)</f>
        <v>8967.9697949720521</v>
      </c>
      <c r="I14" s="108">
        <f>H14*(1+'Assumption '!$E$30)</f>
        <v>9090.9384476065152</v>
      </c>
      <c r="J14" s="108">
        <f>I14*(1+'Assumption '!$E$30)</f>
        <v>9215.5932443601541</v>
      </c>
      <c r="K14" s="108">
        <f>J14*(1+'Assumption '!$E$30)</f>
        <v>9341.9573056130794</v>
      </c>
    </row>
    <row r="15" spans="1:11">
      <c r="A15" s="1" t="s">
        <v>14</v>
      </c>
      <c r="B15" s="107">
        <v>26</v>
      </c>
      <c r="C15" s="107">
        <v>0</v>
      </c>
      <c r="D15" s="107">
        <v>0</v>
      </c>
      <c r="E15" s="107">
        <v>0</v>
      </c>
      <c r="F15" s="107">
        <v>0</v>
      </c>
      <c r="G15" s="108">
        <f>F15*(1+'Assumption '!$E$31)</f>
        <v>0</v>
      </c>
      <c r="H15" s="108">
        <f>G15*(1+'Assumption '!$E$31)</f>
        <v>0</v>
      </c>
      <c r="I15" s="108">
        <f>H15*(1+'Assumption '!$E$31)</f>
        <v>0</v>
      </c>
      <c r="J15" s="108">
        <f>I15*(1+'Assumption '!$E$31)</f>
        <v>0</v>
      </c>
      <c r="K15" s="108">
        <f>J15*(1+'Assumption '!$E$31)</f>
        <v>0</v>
      </c>
    </row>
    <row r="16" spans="1:11">
      <c r="A16" s="2" t="s">
        <v>15</v>
      </c>
      <c r="B16" s="5">
        <f>SUM(B12:B15)</f>
        <v>2938</v>
      </c>
      <c r="C16" s="5">
        <f t="shared" ref="C16:K16" si="7">SUM(C12:C15)</f>
        <v>2960</v>
      </c>
      <c r="D16" s="5">
        <f t="shared" si="7"/>
        <v>9090</v>
      </c>
      <c r="E16" s="5">
        <f t="shared" si="7"/>
        <v>9496</v>
      </c>
      <c r="F16" s="5">
        <f t="shared" si="7"/>
        <v>9317</v>
      </c>
      <c r="G16" s="106">
        <f t="shared" si="7"/>
        <v>9440.1254926460788</v>
      </c>
      <c r="H16" s="106">
        <f t="shared" ref="H16:K16" si="8">SUM(H12:H15)</f>
        <v>9564.9121253751218</v>
      </c>
      <c r="I16" s="106">
        <f t="shared" si="8"/>
        <v>9691.3825164198952</v>
      </c>
      <c r="J16" s="106">
        <f t="shared" si="8"/>
        <v>9819.5595932195592</v>
      </c>
      <c r="K16" s="106">
        <f t="shared" si="8"/>
        <v>9949.4665966540306</v>
      </c>
    </row>
    <row r="17" spans="1:12">
      <c r="A17" s="2" t="s">
        <v>16</v>
      </c>
      <c r="C17" s="2"/>
      <c r="D17" s="2"/>
      <c r="E17" s="2"/>
      <c r="F17" s="2"/>
      <c r="G17" s="23"/>
      <c r="H17" s="23"/>
      <c r="I17" s="23"/>
      <c r="J17" s="23"/>
      <c r="K17" s="23"/>
    </row>
    <row r="18" spans="1:12">
      <c r="A18" s="1" t="s">
        <v>17</v>
      </c>
      <c r="B18" s="107">
        <v>181</v>
      </c>
      <c r="C18" s="107">
        <v>0</v>
      </c>
      <c r="D18" s="107">
        <v>0</v>
      </c>
      <c r="E18" s="107">
        <v>0</v>
      </c>
      <c r="F18" s="107">
        <v>0</v>
      </c>
      <c r="G18" s="108">
        <f>F18*(1+'Assumption '!$E$47)</f>
        <v>0</v>
      </c>
      <c r="H18" s="108">
        <f>G18*(1+'Assumption '!$E$47)</f>
        <v>0</v>
      </c>
      <c r="I18" s="108">
        <f>H18*(1+'Assumption '!$E$47)</f>
        <v>0</v>
      </c>
      <c r="J18" s="108">
        <f>I18*(1+'Assumption '!$E$47)</f>
        <v>0</v>
      </c>
      <c r="K18" s="108">
        <f>J18*(1+'Assumption '!$E$47)</f>
        <v>0</v>
      </c>
    </row>
    <row r="19" spans="1:12">
      <c r="A19" s="1" t="s">
        <v>18</v>
      </c>
      <c r="B19" s="109">
        <v>5094</v>
      </c>
      <c r="C19" s="109">
        <v>6292</v>
      </c>
      <c r="D19" s="109">
        <v>6740</v>
      </c>
      <c r="E19" s="109">
        <v>7860</v>
      </c>
      <c r="F19" s="109">
        <v>8045</v>
      </c>
      <c r="G19" s="108">
        <f>F19*(1+'Assumption '!$E$32)</f>
        <v>8394.3350477697131</v>
      </c>
      <c r="H19" s="108">
        <f>G19*(1+'Assumption '!$E$32)</f>
        <v>8758.8391416053382</v>
      </c>
      <c r="I19" s="108">
        <f>H19*(1+'Assumption '!$E$32)</f>
        <v>9139.1709613617004</v>
      </c>
      <c r="J19" s="108">
        <f>I19*(1+'Assumption '!$E$32)</f>
        <v>9536.0177885043813</v>
      </c>
      <c r="K19" s="108">
        <f>J19*(1+'Assumption '!$E$32)</f>
        <v>9950.0967480668442</v>
      </c>
    </row>
    <row r="20" spans="1:12">
      <c r="A20" s="1" t="s">
        <v>19</v>
      </c>
      <c r="B20" s="109">
        <v>12313</v>
      </c>
      <c r="C20" s="109">
        <v>15553</v>
      </c>
      <c r="D20" s="109">
        <v>20027</v>
      </c>
      <c r="E20" s="109">
        <v>24901</v>
      </c>
      <c r="F20" s="109">
        <v>32895</v>
      </c>
      <c r="G20" s="108">
        <f>F20*(1+'Assumption '!$E$33)</f>
        <v>37217.622175649871</v>
      </c>
      <c r="H20" s="108">
        <f>G20*(1+'Assumption '!$E$33)</f>
        <v>42108.265706320868</v>
      </c>
      <c r="I20" s="108">
        <f>H20*(1+'Assumption '!$E$33)</f>
        <v>47641.57238272456</v>
      </c>
      <c r="J20" s="108">
        <f>I20*(1+'Assumption '!$E$33)</f>
        <v>53901.992424201795</v>
      </c>
      <c r="K20" s="108">
        <f>J20*(1+'Assumption '!$E$33)</f>
        <v>60985.07337159702</v>
      </c>
    </row>
    <row r="21" spans="1:12">
      <c r="A21" s="1" t="s">
        <v>20</v>
      </c>
      <c r="B21" s="107">
        <v>240</v>
      </c>
      <c r="C21" s="107">
        <v>239</v>
      </c>
      <c r="D21" s="107">
        <v>293</v>
      </c>
      <c r="E21" s="109">
        <v>1394</v>
      </c>
      <c r="F21" s="109">
        <v>1411</v>
      </c>
      <c r="G21" s="108">
        <f>F21*(1+'Assumption '!$E$34)</f>
        <v>1417.0101413449261</v>
      </c>
      <c r="H21" s="108">
        <f>G21*(1+'Assumption '!$E$34)</f>
        <v>1423.045882830877</v>
      </c>
      <c r="I21" s="108">
        <f>H21*(1+'Assumption '!$E$34)</f>
        <v>1429.1073335014146</v>
      </c>
      <c r="J21" s="108">
        <f>I21*(1+'Assumption '!$E$34)</f>
        <v>1435.1946028645712</v>
      </c>
      <c r="K21" s="108">
        <f>J21*(1+'Assumption '!$E$34)</f>
        <v>1441.3078008948271</v>
      </c>
    </row>
    <row r="22" spans="1:12">
      <c r="A22" s="2" t="s">
        <v>21</v>
      </c>
      <c r="B22" s="5">
        <f>SUM(B18:B21)</f>
        <v>17828</v>
      </c>
      <c r="C22" s="5">
        <f t="shared" ref="C22:F22" si="9">SUM(C18:C21)</f>
        <v>22084</v>
      </c>
      <c r="D22" s="5">
        <f t="shared" si="9"/>
        <v>27060</v>
      </c>
      <c r="E22" s="5">
        <f t="shared" si="9"/>
        <v>34155</v>
      </c>
      <c r="F22" s="5">
        <f t="shared" si="9"/>
        <v>42351</v>
      </c>
      <c r="G22" s="106">
        <f t="shared" ref="G22:K22" si="10">SUM(G18:G21)</f>
        <v>47028.967364764503</v>
      </c>
      <c r="H22" s="106">
        <f t="shared" ref="H22:K22" si="11">SUM(H18:H21)</f>
        <v>52290.150730757086</v>
      </c>
      <c r="I22" s="106">
        <f t="shared" si="11"/>
        <v>58209.850677587674</v>
      </c>
      <c r="J22" s="106">
        <f t="shared" si="11"/>
        <v>64873.204815570745</v>
      </c>
      <c r="K22" s="106">
        <f t="shared" si="11"/>
        <v>72376.477920558682</v>
      </c>
    </row>
    <row r="23" spans="1:12">
      <c r="A23" s="2" t="s">
        <v>22</v>
      </c>
      <c r="B23" s="5">
        <f>B22+B16+B9+B10</f>
        <v>106296</v>
      </c>
      <c r="C23" s="5">
        <f t="shared" ref="C23:K23" si="12">C22+C16+C9+C10</f>
        <v>114943</v>
      </c>
      <c r="D23" s="5">
        <f t="shared" si="12"/>
        <v>120899</v>
      </c>
      <c r="E23" s="5">
        <f t="shared" si="12"/>
        <v>130759</v>
      </c>
      <c r="F23" s="5">
        <f t="shared" si="12"/>
        <v>141514</v>
      </c>
      <c r="G23" s="5">
        <f t="shared" si="12"/>
        <v>196366.67360984132</v>
      </c>
      <c r="H23" s="5">
        <f t="shared" si="12"/>
        <v>280020.31496172718</v>
      </c>
      <c r="I23" s="5">
        <f t="shared" si="12"/>
        <v>408457.84356967511</v>
      </c>
      <c r="J23" s="5">
        <f t="shared" si="12"/>
        <v>606640.36421433964</v>
      </c>
      <c r="K23" s="5">
        <f t="shared" si="12"/>
        <v>913564.61158349772</v>
      </c>
    </row>
    <row r="24" spans="1:12">
      <c r="A24" s="2" t="s">
        <v>23</v>
      </c>
      <c r="B24" s="42"/>
      <c r="C24" s="2"/>
      <c r="D24" s="2"/>
      <c r="E24" s="2"/>
      <c r="F24" s="2"/>
      <c r="G24" s="23"/>
      <c r="H24" s="23"/>
      <c r="I24" s="23"/>
      <c r="J24" s="23"/>
      <c r="K24" s="23"/>
    </row>
    <row r="25" spans="1:12">
      <c r="A25" s="2" t="s">
        <v>24</v>
      </c>
      <c r="C25" s="2"/>
      <c r="D25" s="2"/>
      <c r="E25" s="2"/>
      <c r="F25" s="2"/>
      <c r="G25" s="23"/>
      <c r="H25" s="23"/>
      <c r="I25" s="23"/>
      <c r="J25" s="23"/>
      <c r="K25" s="23"/>
      <c r="L25" s="42"/>
    </row>
    <row r="26" spans="1:12">
      <c r="A26" s="1" t="s">
        <v>25</v>
      </c>
      <c r="B26" s="109">
        <v>10216</v>
      </c>
      <c r="C26" s="109">
        <v>10411</v>
      </c>
      <c r="D26" s="109">
        <v>18935</v>
      </c>
      <c r="E26" s="109">
        <v>18743</v>
      </c>
      <c r="F26" s="109">
        <v>18410</v>
      </c>
      <c r="G26" s="108">
        <f>F26*(1+'Assumption '!$E$18)</f>
        <v>20238.752919782968</v>
      </c>
      <c r="H26" s="108">
        <f>G26*(1+'Assumption '!$E$18)</f>
        <v>22249.164570778034</v>
      </c>
      <c r="I26" s="108">
        <f>H26*(1+'Assumption '!$E$18)</f>
        <v>24459.279979335453</v>
      </c>
      <c r="J26" s="108">
        <f>I26*(1+'Assumption '!$E$18)</f>
        <v>26888.936670155595</v>
      </c>
      <c r="K26" s="108">
        <f>J26*(1+'Assumption '!$E$18)</f>
        <v>29559.942723681201</v>
      </c>
    </row>
    <row r="27" spans="1:12">
      <c r="A27" s="1" t="s">
        <v>26</v>
      </c>
      <c r="B27" s="107">
        <v>12</v>
      </c>
      <c r="C27" s="107">
        <v>179</v>
      </c>
      <c r="D27" s="107">
        <v>283</v>
      </c>
      <c r="E27" s="107">
        <v>480</v>
      </c>
      <c r="F27" s="109">
        <v>1101</v>
      </c>
      <c r="G27" s="108">
        <f>F27*(1+'Assumption '!$E$18)</f>
        <v>1210.3675700532888</v>
      </c>
      <c r="H27" s="108">
        <f>G27*(1+'Assumption '!$E$18)</f>
        <v>1330.5991413594033</v>
      </c>
      <c r="I27" s="108">
        <f>H27*(1+'Assumption '!$E$18)</f>
        <v>1462.7738868684592</v>
      </c>
      <c r="J27" s="108">
        <f>I27*(1+'Assumption '!$E$18)</f>
        <v>1608.0781789158777</v>
      </c>
      <c r="K27" s="108">
        <f>J27*(1+'Assumption '!$E$18)</f>
        <v>1767.8162378475286</v>
      </c>
    </row>
    <row r="28" spans="1:12">
      <c r="A28" s="1" t="s">
        <v>27</v>
      </c>
      <c r="B28" s="109">
        <v>1278</v>
      </c>
      <c r="C28" s="107">
        <v>963</v>
      </c>
      <c r="D28" s="107">
        <v>906</v>
      </c>
      <c r="E28" s="107">
        <v>926</v>
      </c>
      <c r="F28" s="109">
        <v>1205</v>
      </c>
      <c r="G28" s="108">
        <f>F28*(1+'Assumption '!$E$25)</f>
        <v>1213.3514762899754</v>
      </c>
      <c r="H28" s="108">
        <f>G28*(1+'Assumption '!$E$25)</f>
        <v>1221.7608340373965</v>
      </c>
      <c r="I28" s="108">
        <f>H28*(1+'Assumption '!$E$25)</f>
        <v>1230.2284744004537</v>
      </c>
      <c r="J28" s="108">
        <f>I28*(1+'Assumption '!$E$25)</f>
        <v>1238.7548013176388</v>
      </c>
      <c r="K28" s="108">
        <f>J28*(1+'Assumption '!$E$25)</f>
        <v>1247.3402215270144</v>
      </c>
    </row>
    <row r="29" spans="1:12">
      <c r="A29" s="2" t="s">
        <v>28</v>
      </c>
      <c r="B29" s="5">
        <f>SUM(B26:B28)</f>
        <v>11506</v>
      </c>
      <c r="C29" s="5">
        <f t="shared" ref="C29:K29" si="13">SUM(C26:C28)</f>
        <v>11553</v>
      </c>
      <c r="D29" s="5">
        <f t="shared" si="13"/>
        <v>20124</v>
      </c>
      <c r="E29" s="5">
        <f t="shared" si="13"/>
        <v>20149</v>
      </c>
      <c r="F29" s="5">
        <f t="shared" si="13"/>
        <v>20716</v>
      </c>
      <c r="G29" s="106">
        <f t="shared" si="13"/>
        <v>22662.471966126232</v>
      </c>
      <c r="H29" s="106">
        <f t="shared" ref="H29:K29" si="14">SUM(H26:H28)</f>
        <v>24801.524546174831</v>
      </c>
      <c r="I29" s="106">
        <f t="shared" si="14"/>
        <v>27152.282340604364</v>
      </c>
      <c r="J29" s="106">
        <f t="shared" si="14"/>
        <v>29735.769650389113</v>
      </c>
      <c r="K29" s="106">
        <f t="shared" si="14"/>
        <v>32575.099183055743</v>
      </c>
      <c r="L29" s="42"/>
    </row>
    <row r="30" spans="1:12">
      <c r="A30" s="1" t="s">
        <v>29</v>
      </c>
      <c r="B30" s="107">
        <v>301</v>
      </c>
      <c r="C30" s="107">
        <v>239</v>
      </c>
      <c r="D30" s="107">
        <v>216</v>
      </c>
      <c r="E30" s="107">
        <v>213</v>
      </c>
      <c r="F30" s="107">
        <v>223</v>
      </c>
      <c r="G30" s="108">
        <f>F30*(1+'Assumption '!$E$39)</f>
        <v>223.35294077955868</v>
      </c>
      <c r="H30" s="108">
        <f>G30*(1+'Assumption '!$E$39)</f>
        <v>223.70644015639931</v>
      </c>
      <c r="I30" s="108">
        <f>H30*(1+'Assumption '!$E$39)</f>
        <v>224.06049901461051</v>
      </c>
      <c r="J30" s="108">
        <f>I30*(1+'Assumption '!$E$39)</f>
        <v>224.41511823968011</v>
      </c>
      <c r="K30" s="108">
        <f>J30*(1+'Assumption '!$E$39)</f>
        <v>224.77029871849746</v>
      </c>
    </row>
    <row r="31" spans="1:12">
      <c r="A31" s="1" t="s">
        <v>30</v>
      </c>
      <c r="B31" s="109">
        <v>3449</v>
      </c>
      <c r="C31" s="109">
        <v>2656</v>
      </c>
      <c r="D31" s="109">
        <v>2828</v>
      </c>
      <c r="E31" s="109">
        <v>3931</v>
      </c>
      <c r="F31" s="109">
        <v>3708</v>
      </c>
      <c r="G31" s="108">
        <f>F31*(1+'Assumption '!$E$24)</f>
        <v>3787.6854929233768</v>
      </c>
      <c r="H31" s="108">
        <f>G31*(1+'Assumption '!$E$24)</f>
        <v>3869.0834394018889</v>
      </c>
      <c r="I31" s="108">
        <f>H31*(1+'Assumption '!$E$24)</f>
        <v>3952.2306403270277</v>
      </c>
      <c r="J31" s="108">
        <f>I31*(1+'Assumption '!$E$24)</f>
        <v>4037.164687447128</v>
      </c>
      <c r="K31" s="108">
        <f>J31*(1+'Assumption '!$E$24)</f>
        <v>4123.9239803630062</v>
      </c>
    </row>
    <row r="32" spans="1:12">
      <c r="A32" s="1" t="s">
        <v>31</v>
      </c>
      <c r="B32" s="109">
        <v>1975</v>
      </c>
      <c r="C32" s="107">
        <v>60</v>
      </c>
      <c r="D32" s="107">
        <v>29</v>
      </c>
      <c r="E32" s="107">
        <v>29</v>
      </c>
      <c r="F32" s="107">
        <v>311</v>
      </c>
      <c r="G32" s="108">
        <f>F32*(1+'Assumption '!$E$40)</f>
        <v>312.14673704855784</v>
      </c>
      <c r="H32" s="108">
        <f>G32*(1+'Assumption '!$E$40)</f>
        <v>313.29770241177334</v>
      </c>
      <c r="I32" s="108">
        <f>H32*(1+'Assumption '!$E$40)</f>
        <v>314.45291168053103</v>
      </c>
      <c r="J32" s="108">
        <f>I32*(1+'Assumption '!$E$40)</f>
        <v>315.61238050320293</v>
      </c>
      <c r="K32" s="108">
        <f>J32*(1+'Assumption '!$E$40)</f>
        <v>316.77612458586071</v>
      </c>
    </row>
    <row r="33" spans="1:11">
      <c r="A33" s="1" t="s">
        <v>32</v>
      </c>
      <c r="B33" s="109">
        <v>6096</v>
      </c>
      <c r="C33" s="109">
        <v>6604</v>
      </c>
      <c r="D33" s="109">
        <v>5755</v>
      </c>
      <c r="E33" s="109">
        <v>5359</v>
      </c>
      <c r="F33" s="109">
        <v>6459</v>
      </c>
      <c r="G33" s="108">
        <f>F33*(1+'Assumption '!$E$41)</f>
        <v>6714.2626986190053</v>
      </c>
      <c r="H33" s="108">
        <f>G33*(1+'Assumption '!$E$41)</f>
        <v>6979.6134983846678</v>
      </c>
      <c r="I33" s="108">
        <f>H33*(1+'Assumption '!$E$41)</f>
        <v>7255.4510857689856</v>
      </c>
      <c r="J33" s="108">
        <f>I33*(1+'Assumption '!$E$41)</f>
        <v>7542.1899035196566</v>
      </c>
      <c r="K33" s="108">
        <f>J33*(1+'Assumption '!$E$41)</f>
        <v>7840.2607733554587</v>
      </c>
    </row>
    <row r="34" spans="1:11">
      <c r="A34" s="1"/>
      <c r="B34" s="5">
        <f>SUM(B30:B33)</f>
        <v>11821</v>
      </c>
      <c r="C34" s="5">
        <f t="shared" ref="C34:F34" si="15">SUM(C30:C33)</f>
        <v>9559</v>
      </c>
      <c r="D34" s="5">
        <f t="shared" si="15"/>
        <v>8828</v>
      </c>
      <c r="E34" s="5">
        <f t="shared" si="15"/>
        <v>9532</v>
      </c>
      <c r="F34" s="5">
        <f t="shared" si="15"/>
        <v>10701</v>
      </c>
      <c r="G34" s="106">
        <f t="shared" ref="G34:K34" si="16">SUM(G30:G33)</f>
        <v>11037.447869370499</v>
      </c>
      <c r="H34" s="106">
        <f t="shared" ref="H34:K34" si="17">SUM(H30:H33)</f>
        <v>11385.701080354729</v>
      </c>
      <c r="I34" s="106">
        <f t="shared" si="17"/>
        <v>11746.195136791153</v>
      </c>
      <c r="J34" s="106">
        <f t="shared" si="17"/>
        <v>12119.382089709667</v>
      </c>
      <c r="K34" s="106">
        <f t="shared" si="17"/>
        <v>12505.731177022823</v>
      </c>
    </row>
    <row r="35" spans="1:11">
      <c r="A35" s="2" t="s">
        <v>33</v>
      </c>
      <c r="B35" s="5">
        <f>B34+B29</f>
        <v>23327</v>
      </c>
      <c r="C35" s="5">
        <f t="shared" ref="C35:F35" si="18">C34+C29</f>
        <v>21112</v>
      </c>
      <c r="D35" s="5">
        <f t="shared" si="18"/>
        <v>28952</v>
      </c>
      <c r="E35" s="5">
        <f t="shared" si="18"/>
        <v>29681</v>
      </c>
      <c r="F35" s="5">
        <f t="shared" si="18"/>
        <v>31417</v>
      </c>
      <c r="G35" s="106">
        <f t="shared" ref="G35:K35" si="19">G34+G29</f>
        <v>33699.91983549673</v>
      </c>
      <c r="H35" s="106">
        <f t="shared" ref="H35:K35" si="20">H34+H29</f>
        <v>36187.225626529558</v>
      </c>
      <c r="I35" s="106">
        <f t="shared" si="20"/>
        <v>38898.477477395514</v>
      </c>
      <c r="J35" s="106">
        <f t="shared" si="20"/>
        <v>41855.15174009878</v>
      </c>
      <c r="K35" s="106">
        <f t="shared" si="20"/>
        <v>45080.830360078566</v>
      </c>
    </row>
    <row r="36" spans="1:11">
      <c r="A36" s="2" t="s">
        <v>34</v>
      </c>
      <c r="C36" s="2"/>
      <c r="D36" s="2"/>
      <c r="E36" s="2"/>
      <c r="F36" s="2"/>
      <c r="G36" s="23"/>
      <c r="H36" s="23"/>
      <c r="I36" s="23"/>
      <c r="J36" s="23"/>
      <c r="K36" s="23"/>
    </row>
    <row r="37" spans="1:11">
      <c r="A37" s="1" t="s">
        <v>35</v>
      </c>
      <c r="B37" s="109">
        <v>35707</v>
      </c>
      <c r="C37" s="109">
        <v>29091</v>
      </c>
      <c r="D37" s="109">
        <v>26140</v>
      </c>
      <c r="E37" s="109">
        <v>29160</v>
      </c>
      <c r="F37" s="109">
        <v>30262</v>
      </c>
      <c r="G37" s="108">
        <f>F37*(1+'Assumption '!$E$42)</f>
        <v>36257.8705573525</v>
      </c>
      <c r="H37" s="108">
        <f>G37*(1+'Assumption '!$E$42)</f>
        <v>43441.714934694646</v>
      </c>
      <c r="I37" s="108">
        <f>H37*(1+'Assumption '!$E$42)</f>
        <v>52048.908759882543</v>
      </c>
      <c r="J37" s="108">
        <f>I37*(1+'Assumption '!$E$42)</f>
        <v>62361.463104463422</v>
      </c>
      <c r="K37" s="108">
        <f>J37*(1+'Assumption '!$E$42)</f>
        <v>74717.264457363985</v>
      </c>
    </row>
    <row r="38" spans="1:11">
      <c r="A38" s="1" t="s">
        <v>36</v>
      </c>
      <c r="B38" s="107">
        <v>1771</v>
      </c>
      <c r="C38" s="107">
        <v>1710</v>
      </c>
      <c r="D38" s="107">
        <v>1715</v>
      </c>
      <c r="E38" s="107">
        <v>1806</v>
      </c>
      <c r="F38" s="107">
        <v>1807</v>
      </c>
      <c r="G38" s="108">
        <f>F38*(1+'Assumption '!$E$19)</f>
        <v>1827.7488721521011</v>
      </c>
      <c r="H38" s="108">
        <f>G38*(1+'Assumption '!$E$19)</f>
        <v>1848.7359931672813</v>
      </c>
      <c r="I38" s="108">
        <f>H38*(1+'Assumption '!$E$19)</f>
        <v>1869.9640987374059</v>
      </c>
      <c r="J38" s="108">
        <f>I38*(1+'Assumption '!$E$19)</f>
        <v>1891.435955966914</v>
      </c>
      <c r="K38" s="108">
        <f>J38*(1+'Assumption '!$E$19)</f>
        <v>1913.154363733513</v>
      </c>
    </row>
    <row r="39" spans="1:11">
      <c r="A39" s="1" t="s">
        <v>37</v>
      </c>
      <c r="B39" s="109">
        <v>24943</v>
      </c>
      <c r="C39" s="109">
        <v>27346</v>
      </c>
      <c r="D39" s="109">
        <v>30532</v>
      </c>
      <c r="E39" s="109">
        <v>30079</v>
      </c>
      <c r="F39" s="109">
        <v>34074</v>
      </c>
      <c r="G39" s="108">
        <f>F39*(1+'Assumption '!$E$20)</f>
        <v>40512.407197022716</v>
      </c>
      <c r="H39" s="108">
        <f>G39*(1+'Assumption '!$E$20)</f>
        <v>48167.375033673117</v>
      </c>
      <c r="I39" s="108">
        <f>H39*(1+'Assumption '!$E$20)</f>
        <v>57268.777102068176</v>
      </c>
      <c r="J39" s="108">
        <f>I39*(1+'Assumption '!$E$20)</f>
        <v>68089.922452148749</v>
      </c>
      <c r="K39" s="108">
        <f>J39*(1+'Assumption '!$E$20)</f>
        <v>80955.762880646522</v>
      </c>
    </row>
    <row r="40" spans="1:11">
      <c r="A40" s="1" t="s">
        <v>38</v>
      </c>
      <c r="B40" s="109">
        <v>7161</v>
      </c>
      <c r="C40" s="109">
        <v>12848</v>
      </c>
      <c r="D40" s="109">
        <v>9666</v>
      </c>
      <c r="E40" s="109">
        <v>9329</v>
      </c>
      <c r="F40" s="109">
        <v>18221</v>
      </c>
      <c r="G40" s="108">
        <f>F40*(1+'Assumption '!$E$21)</f>
        <v>19530.45083497696</v>
      </c>
      <c r="H40" s="108">
        <f>G40*(1+'Assumption '!$E$21)</f>
        <v>20934.005258627531</v>
      </c>
      <c r="I40" s="108">
        <f>H40*(1+'Assumption '!$E$21)</f>
        <v>22438.426018482747</v>
      </c>
      <c r="J40" s="108">
        <f>I40*(1+'Assumption '!$E$21)</f>
        <v>24050.96186643132</v>
      </c>
      <c r="K40" s="108">
        <f>J40*(1+'Assumption '!$E$21)</f>
        <v>25779.382485387334</v>
      </c>
    </row>
    <row r="41" spans="1:11">
      <c r="A41" s="1" t="s">
        <v>39</v>
      </c>
      <c r="B41" s="109">
        <v>3205</v>
      </c>
      <c r="C41" s="109">
        <v>8029</v>
      </c>
      <c r="D41" s="109">
        <v>8475</v>
      </c>
      <c r="E41" s="109">
        <v>11472</v>
      </c>
      <c r="F41" s="109">
        <v>6445</v>
      </c>
      <c r="G41" s="108">
        <f>F41*(1+'Assumption '!$E$22)</f>
        <v>6752.2192452232148</v>
      </c>
      <c r="H41" s="108">
        <f>G41*(1+'Assumption '!$E$22)</f>
        <v>7074.0829690555101</v>
      </c>
      <c r="I41" s="108">
        <f>H41*(1+'Assumption '!$E$22)</f>
        <v>7411.2892421974238</v>
      </c>
      <c r="J41" s="108">
        <f>I41*(1+'Assumption '!$E$22)</f>
        <v>7764.5694108737353</v>
      </c>
      <c r="K41" s="108">
        <f>J41*(1+'Assumption '!$E$22)</f>
        <v>8134.689683005914</v>
      </c>
    </row>
    <row r="42" spans="1:11">
      <c r="A42" s="1" t="s">
        <v>40</v>
      </c>
      <c r="B42" s="109">
        <v>10182</v>
      </c>
      <c r="C42" s="109">
        <v>14807</v>
      </c>
      <c r="D42" s="109">
        <v>15419</v>
      </c>
      <c r="E42" s="109">
        <v>19232</v>
      </c>
      <c r="F42" s="109">
        <v>19288</v>
      </c>
      <c r="G42" s="108">
        <f>F42*(1+'Assumption '!$E$23)</f>
        <v>21215.94723554108</v>
      </c>
      <c r="H42" s="108">
        <f>G42*(1+'Assumption '!$E$23)</f>
        <v>23336.603955892951</v>
      </c>
      <c r="I42" s="108">
        <f>H42*(1+'Assumption '!$E$23)</f>
        <v>25669.232589430947</v>
      </c>
      <c r="J42" s="108">
        <f>I42*(1+'Assumption '!$E$23)</f>
        <v>28235.02095573406</v>
      </c>
      <c r="K42" s="108">
        <f>J42*(1+'Assumption '!$E$23)</f>
        <v>31057.27471957956</v>
      </c>
    </row>
    <row r="43" spans="1:11">
      <c r="A43" s="2" t="s">
        <v>41</v>
      </c>
      <c r="B43" s="5">
        <f>SUM(B37:B42)</f>
        <v>82969</v>
      </c>
      <c r="C43" s="5">
        <f t="shared" ref="C43:F43" si="21">SUM(C37:C42)</f>
        <v>93831</v>
      </c>
      <c r="D43" s="5">
        <f t="shared" si="21"/>
        <v>91947</v>
      </c>
      <c r="E43" s="5">
        <f t="shared" si="21"/>
        <v>101078</v>
      </c>
      <c r="F43" s="5">
        <f t="shared" si="21"/>
        <v>110097</v>
      </c>
      <c r="G43" s="106">
        <f t="shared" ref="G43:K43" si="22">SUM(G37:G42)</f>
        <v>126096.64394226857</v>
      </c>
      <c r="H43" s="106">
        <f t="shared" ref="H43:K43" si="23">SUM(H37:H42)</f>
        <v>144802.51814511104</v>
      </c>
      <c r="I43" s="106">
        <f t="shared" si="23"/>
        <v>166706.59781079926</v>
      </c>
      <c r="J43" s="106">
        <f t="shared" si="23"/>
        <v>192393.37374561821</v>
      </c>
      <c r="K43" s="106">
        <f t="shared" si="23"/>
        <v>222557.52858971682</v>
      </c>
    </row>
    <row r="44" spans="1:11">
      <c r="A44" s="2" t="s">
        <v>42</v>
      </c>
      <c r="B44" s="5">
        <f>B43+B35</f>
        <v>106296</v>
      </c>
      <c r="C44" s="5">
        <f t="shared" ref="C44:F44" si="24">C43+C35</f>
        <v>114943</v>
      </c>
      <c r="D44" s="5">
        <f t="shared" si="24"/>
        <v>120899</v>
      </c>
      <c r="E44" s="5">
        <f t="shared" si="24"/>
        <v>130759</v>
      </c>
      <c r="F44" s="5">
        <f t="shared" si="24"/>
        <v>141514</v>
      </c>
      <c r="G44" s="106">
        <f t="shared" ref="G44:K44" si="25">G43+G35</f>
        <v>159796.56377776529</v>
      </c>
      <c r="H44" s="106">
        <f t="shared" ref="H44:K44" si="26">H43+H35</f>
        <v>180989.74377164058</v>
      </c>
      <c r="I44" s="106">
        <f t="shared" si="26"/>
        <v>205605.07528819476</v>
      </c>
      <c r="J44" s="106">
        <f t="shared" si="26"/>
        <v>234248.52548571699</v>
      </c>
      <c r="K44" s="106">
        <f t="shared" si="26"/>
        <v>267638.35894979537</v>
      </c>
    </row>
    <row r="45" spans="1:11">
      <c r="A45" s="2" t="s">
        <v>43</v>
      </c>
      <c r="B45" s="42"/>
      <c r="C45" s="42"/>
      <c r="D45" s="42"/>
      <c r="E45" s="42"/>
      <c r="F45" s="110" t="s">
        <v>318</v>
      </c>
      <c r="G45" s="23">
        <f>G44-G23</f>
        <v>-36570.109832076036</v>
      </c>
      <c r="H45" s="23">
        <f t="shared" ref="H45:K45" si="27">H44-H23</f>
        <v>-99030.571190086601</v>
      </c>
      <c r="I45" s="23">
        <f t="shared" si="27"/>
        <v>-202852.76828148036</v>
      </c>
      <c r="J45" s="23">
        <f t="shared" si="27"/>
        <v>-372391.83872862265</v>
      </c>
      <c r="K45" s="23">
        <f t="shared" si="27"/>
        <v>-645926.25263370236</v>
      </c>
    </row>
    <row r="46" spans="1:11">
      <c r="A46" s="2" t="s">
        <v>44</v>
      </c>
      <c r="C46" s="2"/>
      <c r="D46" s="2"/>
      <c r="E46" s="2"/>
      <c r="F46" s="2"/>
      <c r="G46" s="23">
        <f>G45+'Reformulated Balance Sheet'!G47</f>
        <v>0</v>
      </c>
      <c r="H46" s="23">
        <f>H45+'Reformulated Balance Sheet'!H47</f>
        <v>0</v>
      </c>
      <c r="I46" s="23">
        <f>I45+'Reformulated Balance Sheet'!I47</f>
        <v>0</v>
      </c>
      <c r="J46" s="23">
        <f>J45+'Reformulated Balance Sheet'!J47</f>
        <v>0</v>
      </c>
      <c r="K46" s="23">
        <f>K45+'Reformulated Balance Sheet'!K47</f>
        <v>0</v>
      </c>
    </row>
    <row r="47" spans="1:11">
      <c r="A47" s="1" t="s">
        <v>45</v>
      </c>
      <c r="B47" s="4">
        <v>9682</v>
      </c>
      <c r="C47" s="4">
        <v>4516</v>
      </c>
      <c r="D47" s="4">
        <v>2124</v>
      </c>
      <c r="E47" s="4">
        <v>1821</v>
      </c>
      <c r="F47" s="4">
        <v>2298</v>
      </c>
    </row>
    <row r="48" spans="1:11">
      <c r="A48" s="2" t="s">
        <v>46</v>
      </c>
      <c r="C48" s="2"/>
      <c r="D48" s="2"/>
      <c r="E48" s="2"/>
      <c r="F48" s="2"/>
    </row>
    <row r="49" spans="1:6">
      <c r="A49" s="1" t="s">
        <v>47</v>
      </c>
      <c r="B49" s="1">
        <v>151.15</v>
      </c>
      <c r="C49" s="1">
        <v>342.58</v>
      </c>
      <c r="D49" s="1">
        <v>342.58</v>
      </c>
      <c r="E49" s="1">
        <v>338.01</v>
      </c>
      <c r="F49" s="1">
        <v>334.35</v>
      </c>
    </row>
    <row r="50" spans="1:6">
      <c r="A50" s="2" t="s">
        <v>48</v>
      </c>
      <c r="C50" s="2"/>
      <c r="D50" s="2"/>
      <c r="E50" s="2"/>
      <c r="F50" s="2"/>
    </row>
    <row r="51" spans="1:6">
      <c r="A51" s="1" t="s">
        <v>49</v>
      </c>
      <c r="B51" s="1">
        <v>168</v>
      </c>
      <c r="C51" s="4">
        <v>29222</v>
      </c>
      <c r="D51" s="1">
        <v>0</v>
      </c>
      <c r="E51" s="1">
        <v>0</v>
      </c>
      <c r="F51" s="1">
        <v>0</v>
      </c>
    </row>
    <row r="52" spans="1:6">
      <c r="A52" s="1" t="s">
        <v>50</v>
      </c>
      <c r="B52" s="1">
        <v>117</v>
      </c>
      <c r="C52" s="1">
        <v>121</v>
      </c>
      <c r="D52" s="1">
        <v>42</v>
      </c>
      <c r="E52" s="1">
        <v>38</v>
      </c>
      <c r="F52" s="1">
        <v>36</v>
      </c>
    </row>
    <row r="53" spans="1:6">
      <c r="A53" s="2" t="s">
        <v>51</v>
      </c>
      <c r="C53" s="2"/>
      <c r="D53" s="2"/>
      <c r="E53" s="2"/>
      <c r="F53" s="2"/>
    </row>
    <row r="54" spans="1:6">
      <c r="A54" s="1" t="s">
        <v>52</v>
      </c>
      <c r="B54" s="4">
        <v>25217</v>
      </c>
      <c r="C54" s="1">
        <v>0</v>
      </c>
      <c r="D54" s="4">
        <v>26336</v>
      </c>
      <c r="E54" s="4">
        <v>29356</v>
      </c>
      <c r="F54" s="4">
        <v>30455</v>
      </c>
    </row>
    <row r="55" spans="1:6">
      <c r="A55" s="1" t="s">
        <v>53</v>
      </c>
      <c r="B55" s="4">
        <v>10490</v>
      </c>
      <c r="C55" s="1">
        <v>0</v>
      </c>
      <c r="D55" s="1">
        <v>0</v>
      </c>
      <c r="E55" s="1">
        <v>0</v>
      </c>
      <c r="F55" s="1">
        <v>0</v>
      </c>
    </row>
    <row r="56" spans="1:6" s="52" customFormat="1" ht="17" thickBot="1"/>
    <row r="58" spans="1:6">
      <c r="A58" t="s">
        <v>156</v>
      </c>
      <c r="B58" s="42">
        <f>B26+B27</f>
        <v>10228</v>
      </c>
      <c r="C58" s="42">
        <f t="shared" ref="C58:F58" si="28">C26+C27</f>
        <v>10590</v>
      </c>
      <c r="D58" s="42">
        <f t="shared" si="28"/>
        <v>19218</v>
      </c>
      <c r="E58" s="42">
        <f t="shared" si="28"/>
        <v>19223</v>
      </c>
      <c r="F58" s="42">
        <f t="shared" si="28"/>
        <v>19511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D7B854-6B4A-D84F-8F7E-E6F8B41FE487}">
  <dimension ref="A1:G37"/>
  <sheetViews>
    <sheetView topLeftCell="A2" workbookViewId="0">
      <selection activeCell="B37" sqref="B37"/>
    </sheetView>
  </sheetViews>
  <sheetFormatPr baseColWidth="10" defaultRowHeight="16"/>
  <cols>
    <col min="1" max="1" width="59.83203125" customWidth="1"/>
    <col min="2" max="5" width="12" bestFit="1" customWidth="1"/>
    <col min="6" max="6" width="12.83203125" customWidth="1"/>
  </cols>
  <sheetData>
    <row r="1" spans="1:7">
      <c r="A1" s="6" t="s">
        <v>54</v>
      </c>
      <c r="B1" s="2" t="s">
        <v>1</v>
      </c>
    </row>
    <row r="2" spans="1:7">
      <c r="A2" s="2"/>
      <c r="B2" s="3">
        <v>43160</v>
      </c>
      <c r="C2" s="3">
        <v>43525</v>
      </c>
      <c r="D2" s="3">
        <v>43891</v>
      </c>
      <c r="E2" s="3">
        <v>44256</v>
      </c>
      <c r="F2" s="3">
        <v>44621</v>
      </c>
    </row>
    <row r="3" spans="1:7">
      <c r="A3" s="2" t="s">
        <v>55</v>
      </c>
      <c r="C3" s="2"/>
      <c r="D3" s="2"/>
      <c r="E3" s="2"/>
      <c r="F3" s="2"/>
    </row>
    <row r="4" spans="1:7">
      <c r="A4" s="2" t="s">
        <v>56</v>
      </c>
      <c r="B4" s="5">
        <v>123104</v>
      </c>
      <c r="C4" s="5">
        <v>146463</v>
      </c>
      <c r="D4" s="5">
        <v>156949</v>
      </c>
      <c r="E4" s="5">
        <v>164177</v>
      </c>
      <c r="F4" s="5">
        <v>191754</v>
      </c>
    </row>
    <row r="5" spans="1:7">
      <c r="A5" s="2" t="s">
        <v>57</v>
      </c>
      <c r="B5" s="5">
        <v>123104</v>
      </c>
      <c r="C5" s="5">
        <v>146463</v>
      </c>
      <c r="D5" s="5">
        <v>156949</v>
      </c>
      <c r="E5" s="5">
        <v>164177</v>
      </c>
      <c r="F5" s="5">
        <v>191754</v>
      </c>
    </row>
    <row r="6" spans="1:7">
      <c r="A6" s="2" t="s">
        <v>58</v>
      </c>
      <c r="B6" s="5">
        <f>B5</f>
        <v>123104</v>
      </c>
      <c r="C6" s="5">
        <f t="shared" ref="C6:F6" si="0">C5</f>
        <v>146463</v>
      </c>
      <c r="D6" s="5">
        <f t="shared" si="0"/>
        <v>156949</v>
      </c>
      <c r="E6" s="5">
        <f t="shared" si="0"/>
        <v>164177</v>
      </c>
      <c r="F6" s="5">
        <f t="shared" si="0"/>
        <v>191754</v>
      </c>
    </row>
    <row r="7" spans="1:7">
      <c r="A7" s="1" t="s">
        <v>59</v>
      </c>
      <c r="B7" s="4">
        <v>3642</v>
      </c>
      <c r="C7" s="4">
        <v>4311</v>
      </c>
      <c r="D7" s="4">
        <v>4592</v>
      </c>
      <c r="E7" s="4">
        <v>3134</v>
      </c>
      <c r="F7" s="4">
        <v>4018</v>
      </c>
    </row>
    <row r="8" spans="1:7">
      <c r="A8" s="2" t="s">
        <v>60</v>
      </c>
      <c r="B8" s="5">
        <f>B6+B7</f>
        <v>126746</v>
      </c>
      <c r="C8" s="5">
        <f t="shared" ref="C8:F8" si="1">C6+C7</f>
        <v>150774</v>
      </c>
      <c r="D8" s="5">
        <f t="shared" si="1"/>
        <v>161541</v>
      </c>
      <c r="E8" s="5">
        <f t="shared" si="1"/>
        <v>167311</v>
      </c>
      <c r="F8" s="5">
        <f t="shared" si="1"/>
        <v>195772</v>
      </c>
    </row>
    <row r="9" spans="1:7">
      <c r="A9" s="2" t="s">
        <v>61</v>
      </c>
      <c r="C9" s="2"/>
      <c r="D9" s="2"/>
      <c r="E9" s="2"/>
      <c r="F9" s="2"/>
    </row>
    <row r="10" spans="1:7">
      <c r="A10" s="1" t="s">
        <v>62</v>
      </c>
      <c r="B10" s="4">
        <v>2700</v>
      </c>
      <c r="C10" s="4">
        <v>2270</v>
      </c>
      <c r="D10" s="4">
        <v>1905</v>
      </c>
      <c r="E10" s="4">
        <v>1462</v>
      </c>
      <c r="F10" s="4">
        <v>1163</v>
      </c>
      <c r="G10" s="42"/>
    </row>
    <row r="11" spans="1:7">
      <c r="A11" s="1" t="s">
        <v>63</v>
      </c>
      <c r="B11" s="4">
        <v>66396</v>
      </c>
      <c r="C11" s="4">
        <v>78246</v>
      </c>
      <c r="D11" s="4">
        <v>85952</v>
      </c>
      <c r="E11" s="4">
        <v>91814</v>
      </c>
      <c r="F11" s="4">
        <v>107554</v>
      </c>
    </row>
    <row r="12" spans="1:7">
      <c r="A12" s="1" t="s">
        <v>64</v>
      </c>
      <c r="B12" s="1">
        <v>52</v>
      </c>
      <c r="C12" s="1">
        <v>198</v>
      </c>
      <c r="D12" s="1">
        <v>924</v>
      </c>
      <c r="E12" s="1">
        <v>637</v>
      </c>
      <c r="F12" s="1">
        <v>784</v>
      </c>
    </row>
    <row r="13" spans="1:7">
      <c r="A13" s="25" t="s">
        <v>65</v>
      </c>
      <c r="B13" s="4">
        <v>2014</v>
      </c>
      <c r="C13" s="4">
        <v>2056</v>
      </c>
      <c r="D13" s="4">
        <v>3529</v>
      </c>
      <c r="E13" s="4">
        <v>4065</v>
      </c>
      <c r="F13" s="4">
        <v>4604</v>
      </c>
    </row>
    <row r="14" spans="1:7">
      <c r="A14" s="1" t="s">
        <v>66</v>
      </c>
      <c r="B14" s="4">
        <v>21492</v>
      </c>
      <c r="C14" s="4">
        <v>26441</v>
      </c>
      <c r="D14" s="4">
        <v>26983</v>
      </c>
      <c r="E14" s="4">
        <v>24355</v>
      </c>
      <c r="F14" s="4">
        <v>29980</v>
      </c>
    </row>
    <row r="15" spans="1:7">
      <c r="A15" s="2" t="s">
        <v>67</v>
      </c>
      <c r="B15" s="5">
        <f>SUM(B10:B14)</f>
        <v>92654</v>
      </c>
      <c r="C15" s="5">
        <f t="shared" ref="C15:F15" si="2">SUM(C10:C14)</f>
        <v>109211</v>
      </c>
      <c r="D15" s="5">
        <f t="shared" si="2"/>
        <v>119293</v>
      </c>
      <c r="E15" s="5">
        <f t="shared" si="2"/>
        <v>122333</v>
      </c>
      <c r="F15" s="5">
        <f t="shared" si="2"/>
        <v>144085</v>
      </c>
    </row>
    <row r="16" spans="1:7">
      <c r="A16" s="2" t="s">
        <v>68</v>
      </c>
      <c r="B16" s="5">
        <f>B8-B15</f>
        <v>34092</v>
      </c>
      <c r="C16" s="5">
        <f t="shared" ref="C16:F16" si="3">C8-C15</f>
        <v>41563</v>
      </c>
      <c r="D16" s="5">
        <f t="shared" si="3"/>
        <v>42248</v>
      </c>
      <c r="E16" s="5">
        <f t="shared" si="3"/>
        <v>44978</v>
      </c>
      <c r="F16" s="5">
        <f t="shared" si="3"/>
        <v>51687</v>
      </c>
    </row>
    <row r="17" spans="1:6">
      <c r="A17" s="1" t="s">
        <v>69</v>
      </c>
      <c r="B17" s="1">
        <v>0</v>
      </c>
      <c r="C17" s="1">
        <v>0</v>
      </c>
      <c r="D17" s="1">
        <v>0</v>
      </c>
      <c r="E17" s="4">
        <v>-1218</v>
      </c>
      <c r="F17" s="1">
        <v>0</v>
      </c>
    </row>
    <row r="18" spans="1:6">
      <c r="A18" s="2" t="s">
        <v>70</v>
      </c>
      <c r="B18" s="5">
        <f>B16+B17</f>
        <v>34092</v>
      </c>
      <c r="C18" s="5">
        <f t="shared" ref="C18:F18" si="4">C16+C17</f>
        <v>41563</v>
      </c>
      <c r="D18" s="5">
        <f t="shared" si="4"/>
        <v>42248</v>
      </c>
      <c r="E18" s="5">
        <f t="shared" si="4"/>
        <v>43760</v>
      </c>
      <c r="F18" s="5">
        <f t="shared" si="4"/>
        <v>51687</v>
      </c>
    </row>
    <row r="19" spans="1:6">
      <c r="A19" s="2" t="s">
        <v>71</v>
      </c>
      <c r="C19" s="2"/>
      <c r="D19" s="2"/>
      <c r="E19" s="2"/>
      <c r="F19" s="2"/>
    </row>
    <row r="20" spans="1:6">
      <c r="A20" s="1" t="s">
        <v>72</v>
      </c>
      <c r="B20" s="4">
        <v>8265</v>
      </c>
      <c r="C20" s="4">
        <v>9502</v>
      </c>
      <c r="D20" s="4">
        <v>10378</v>
      </c>
      <c r="E20" s="4">
        <v>11635</v>
      </c>
      <c r="F20" s="4">
        <v>13654</v>
      </c>
    </row>
    <row r="21" spans="1:6">
      <c r="A21" s="1" t="s">
        <v>73</v>
      </c>
      <c r="B21" s="1">
        <v>-53</v>
      </c>
      <c r="C21" s="1">
        <v>499</v>
      </c>
      <c r="D21" s="1">
        <v>-577</v>
      </c>
      <c r="E21" s="1">
        <v>-437</v>
      </c>
      <c r="F21" s="1">
        <v>-416</v>
      </c>
    </row>
    <row r="22" spans="1:6">
      <c r="A22" s="2" t="s">
        <v>74</v>
      </c>
      <c r="B22" s="5">
        <f>SUM(B20:B21)</f>
        <v>8212</v>
      </c>
      <c r="C22" s="5">
        <f t="shared" ref="C22:F22" si="5">SUM(C20:C21)</f>
        <v>10001</v>
      </c>
      <c r="D22" s="5">
        <f t="shared" si="5"/>
        <v>9801</v>
      </c>
      <c r="E22" s="5">
        <f t="shared" si="5"/>
        <v>11198</v>
      </c>
      <c r="F22" s="5">
        <f t="shared" si="5"/>
        <v>13238</v>
      </c>
    </row>
    <row r="23" spans="1:6">
      <c r="A23" s="2" t="s">
        <v>75</v>
      </c>
      <c r="B23" s="5">
        <f>B18-B22</f>
        <v>25880</v>
      </c>
      <c r="C23" s="5">
        <f t="shared" ref="C23:F23" si="6">C18-C22</f>
        <v>31562</v>
      </c>
      <c r="D23" s="5">
        <f t="shared" si="6"/>
        <v>32447</v>
      </c>
      <c r="E23" s="5">
        <f t="shared" si="6"/>
        <v>32562</v>
      </c>
      <c r="F23" s="5">
        <f t="shared" si="6"/>
        <v>38449</v>
      </c>
    </row>
    <row r="24" spans="1:6">
      <c r="A24" s="2" t="s">
        <v>76</v>
      </c>
      <c r="B24" s="5">
        <f>B23</f>
        <v>25880</v>
      </c>
      <c r="C24" s="5">
        <f t="shared" ref="C24:F25" si="7">C23</f>
        <v>31562</v>
      </c>
      <c r="D24" s="5">
        <f t="shared" si="7"/>
        <v>32447</v>
      </c>
      <c r="E24" s="5">
        <f t="shared" si="7"/>
        <v>32562</v>
      </c>
      <c r="F24" s="5">
        <f t="shared" si="7"/>
        <v>38449</v>
      </c>
    </row>
    <row r="25" spans="1:6">
      <c r="A25" s="2" t="s">
        <v>77</v>
      </c>
      <c r="B25" s="5">
        <f>B24</f>
        <v>25880</v>
      </c>
      <c r="C25" s="5">
        <f t="shared" si="7"/>
        <v>31562</v>
      </c>
      <c r="D25" s="5">
        <f t="shared" si="7"/>
        <v>32447</v>
      </c>
      <c r="E25" s="5">
        <f t="shared" si="7"/>
        <v>32562</v>
      </c>
      <c r="F25" s="5">
        <f t="shared" si="7"/>
        <v>38449</v>
      </c>
    </row>
    <row r="26" spans="1:6">
      <c r="A26" s="1" t="s">
        <v>9</v>
      </c>
      <c r="B26" s="1">
        <v>-54</v>
      </c>
      <c r="C26" s="1">
        <v>-90</v>
      </c>
      <c r="D26" s="1">
        <v>-107</v>
      </c>
      <c r="E26" s="1">
        <v>-132</v>
      </c>
      <c r="F26" s="1">
        <v>-122</v>
      </c>
    </row>
    <row r="27" spans="1:6">
      <c r="A27" s="2" t="s">
        <v>78</v>
      </c>
      <c r="B27" s="5">
        <f>B25+B26</f>
        <v>25826</v>
      </c>
      <c r="C27" s="5">
        <f t="shared" ref="C27:F27" si="8">C25+C26</f>
        <v>31472</v>
      </c>
      <c r="D27" s="5">
        <f t="shared" si="8"/>
        <v>32340</v>
      </c>
      <c r="E27" s="5">
        <f t="shared" si="8"/>
        <v>32430</v>
      </c>
      <c r="F27" s="5">
        <f t="shared" si="8"/>
        <v>38327</v>
      </c>
    </row>
    <row r="28" spans="1:6">
      <c r="A28" s="2" t="s">
        <v>43</v>
      </c>
      <c r="C28" s="2"/>
      <c r="D28" s="2"/>
      <c r="E28" s="2"/>
      <c r="F28" s="2"/>
    </row>
    <row r="29" spans="1:6">
      <c r="A29" s="2" t="s">
        <v>79</v>
      </c>
      <c r="C29" s="2"/>
      <c r="D29" s="2"/>
      <c r="E29" s="2"/>
      <c r="F29" s="2"/>
    </row>
    <row r="30" spans="1:6">
      <c r="A30" s="1" t="s">
        <v>80</v>
      </c>
      <c r="B30" s="1">
        <v>134</v>
      </c>
      <c r="C30" s="1">
        <v>83</v>
      </c>
      <c r="D30" s="1">
        <v>86</v>
      </c>
      <c r="E30" s="1">
        <v>87</v>
      </c>
      <c r="F30" s="1">
        <v>104</v>
      </c>
    </row>
    <row r="31" spans="1:6">
      <c r="A31" s="1" t="s">
        <v>81</v>
      </c>
      <c r="B31" s="1">
        <v>134</v>
      </c>
      <c r="C31" s="1">
        <v>83</v>
      </c>
      <c r="D31" s="1">
        <v>86</v>
      </c>
      <c r="E31" s="1">
        <v>87</v>
      </c>
      <c r="F31" s="1">
        <v>104</v>
      </c>
    </row>
    <row r="32" spans="1:6">
      <c r="A32" s="2" t="s">
        <v>82</v>
      </c>
      <c r="C32" s="2"/>
      <c r="D32" s="2"/>
      <c r="E32" s="2"/>
      <c r="F32" s="2"/>
    </row>
    <row r="33" spans="1:6">
      <c r="A33" s="1" t="s">
        <v>83</v>
      </c>
      <c r="B33" s="4">
        <v>9284</v>
      </c>
      <c r="C33" s="4">
        <v>10082</v>
      </c>
      <c r="D33" s="4">
        <v>37634</v>
      </c>
      <c r="E33" s="4">
        <v>10850</v>
      </c>
      <c r="F33" s="4">
        <v>13317</v>
      </c>
    </row>
    <row r="34" spans="1:6">
      <c r="A34" s="1" t="s">
        <v>84</v>
      </c>
      <c r="B34" s="4">
        <v>1442</v>
      </c>
      <c r="C34" s="4">
        <v>1342</v>
      </c>
      <c r="D34" s="1">
        <v>0</v>
      </c>
      <c r="E34" s="1">
        <v>0</v>
      </c>
      <c r="F34" s="1">
        <v>0</v>
      </c>
    </row>
    <row r="37" spans="1:6">
      <c r="A37" t="s">
        <v>201</v>
      </c>
      <c r="B37" s="7">
        <f>B22/B18</f>
        <v>0.24087762524932535</v>
      </c>
      <c r="C37" s="7">
        <f t="shared" ref="C37:F37" si="9">C22/C18</f>
        <v>0.24062266920097203</v>
      </c>
      <c r="D37" s="7">
        <f t="shared" si="9"/>
        <v>0.23198731300889983</v>
      </c>
      <c r="E37" s="7">
        <f t="shared" si="9"/>
        <v>0.25589579524680073</v>
      </c>
      <c r="F37" s="7">
        <f t="shared" si="9"/>
        <v>0.25611855979259773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CCBFB0-3846-564E-AB18-54A73170663C}">
  <dimension ref="A1:Q58"/>
  <sheetViews>
    <sheetView zoomScale="118" zoomScaleNormal="118" workbookViewId="0">
      <selection activeCell="G49" sqref="G49"/>
    </sheetView>
  </sheetViews>
  <sheetFormatPr baseColWidth="10" defaultRowHeight="16"/>
  <cols>
    <col min="1" max="1" width="26" style="18" bestFit="1" customWidth="1"/>
    <col min="2" max="8" width="12.6640625" style="12" bestFit="1" customWidth="1"/>
    <col min="9" max="11" width="13.6640625" style="12" bestFit="1" customWidth="1"/>
    <col min="12" max="16384" width="10.83203125" style="12"/>
  </cols>
  <sheetData>
    <row r="1" spans="1:11">
      <c r="A1" s="11" t="s">
        <v>153</v>
      </c>
      <c r="C1" s="9" t="s">
        <v>1</v>
      </c>
    </row>
    <row r="2" spans="1:11">
      <c r="A2" s="13" t="s">
        <v>154</v>
      </c>
      <c r="B2" s="13">
        <v>2018</v>
      </c>
      <c r="C2" s="13">
        <f>B2+1</f>
        <v>2019</v>
      </c>
      <c r="D2" s="13">
        <f t="shared" ref="D2:K2" si="0">C2+1</f>
        <v>2020</v>
      </c>
      <c r="E2" s="13">
        <f t="shared" si="0"/>
        <v>2021</v>
      </c>
      <c r="F2" s="13">
        <f t="shared" si="0"/>
        <v>2022</v>
      </c>
      <c r="G2" s="14">
        <f t="shared" si="0"/>
        <v>2023</v>
      </c>
      <c r="H2" s="14">
        <f t="shared" si="0"/>
        <v>2024</v>
      </c>
      <c r="I2" s="14">
        <f t="shared" si="0"/>
        <v>2025</v>
      </c>
      <c r="J2" s="14">
        <f t="shared" si="0"/>
        <v>2026</v>
      </c>
      <c r="K2" s="14">
        <f t="shared" si="0"/>
        <v>2027</v>
      </c>
    </row>
    <row r="3" spans="1:11">
      <c r="A3" s="15" t="s">
        <v>155</v>
      </c>
    </row>
    <row r="4" spans="1:11">
      <c r="A4" s="16" t="s">
        <v>156</v>
      </c>
      <c r="B4" s="10">
        <f>'Consolidated Balance Sheet'!B58</f>
        <v>10228</v>
      </c>
      <c r="C4" s="10">
        <f>'Consolidated Balance Sheet'!C58</f>
        <v>10590</v>
      </c>
      <c r="D4" s="10">
        <f>'Consolidated Balance Sheet'!D58</f>
        <v>19218</v>
      </c>
      <c r="E4" s="10">
        <f>'Consolidated Balance Sheet'!E58</f>
        <v>19223</v>
      </c>
      <c r="F4" s="10">
        <f>'Consolidated Balance Sheet'!F58</f>
        <v>19511</v>
      </c>
      <c r="G4" s="12">
        <f>F4*(1+'Assumption '!$E18)</f>
        <v>21449.120489836256</v>
      </c>
      <c r="H4" s="12">
        <f>G4*(1+'Assumption '!$E18)</f>
        <v>23579.763712137436</v>
      </c>
      <c r="I4" s="12">
        <f>H4*(1+'Assumption '!$E18)</f>
        <v>25922.053866203911</v>
      </c>
      <c r="J4" s="12">
        <f>I4*(1+'Assumption '!$E18)</f>
        <v>28497.014849071471</v>
      </c>
      <c r="K4" s="12">
        <f>J4*(1+'Assumption '!$E18)</f>
        <v>31327.758961528725</v>
      </c>
    </row>
    <row r="5" spans="1:11">
      <c r="A5" s="16" t="s">
        <v>36</v>
      </c>
      <c r="B5" s="10">
        <f>'Consolidated Balance Sheet'!B38</f>
        <v>1771</v>
      </c>
      <c r="C5" s="10">
        <f>'Consolidated Balance Sheet'!C38</f>
        <v>1710</v>
      </c>
      <c r="D5" s="10">
        <f>'Consolidated Balance Sheet'!D38</f>
        <v>1715</v>
      </c>
      <c r="E5" s="10">
        <f>'Consolidated Balance Sheet'!E38</f>
        <v>1806</v>
      </c>
      <c r="F5" s="10">
        <f>'Consolidated Balance Sheet'!F38</f>
        <v>1807</v>
      </c>
      <c r="G5" s="12">
        <f>F5*(1+'Assumption '!$E19)</f>
        <v>1827.7488721521011</v>
      </c>
      <c r="H5" s="12">
        <f>G5*(1+'Assumption '!$E19)</f>
        <v>1848.7359931672813</v>
      </c>
      <c r="I5" s="12">
        <f>H5*(1+'Assumption '!$E19)</f>
        <v>1869.9640987374059</v>
      </c>
      <c r="J5" s="12">
        <f>I5*(1+'Assumption '!$E19)</f>
        <v>1891.435955966914</v>
      </c>
      <c r="K5" s="12">
        <f>J5*(1+'Assumption '!$E19)</f>
        <v>1913.154363733513</v>
      </c>
    </row>
    <row r="6" spans="1:11">
      <c r="A6" s="16" t="s">
        <v>37</v>
      </c>
      <c r="B6" s="10">
        <f>'Consolidated Balance Sheet'!B39</f>
        <v>24943</v>
      </c>
      <c r="C6" s="10">
        <f>'Consolidated Balance Sheet'!C39</f>
        <v>27346</v>
      </c>
      <c r="D6" s="10">
        <f>'Consolidated Balance Sheet'!D39</f>
        <v>30532</v>
      </c>
      <c r="E6" s="10">
        <f>'Consolidated Balance Sheet'!E39</f>
        <v>30079</v>
      </c>
      <c r="F6" s="10">
        <f>'Consolidated Balance Sheet'!F39</f>
        <v>34074</v>
      </c>
      <c r="G6" s="12">
        <f>F6*(1+'Assumption '!$E20)</f>
        <v>40512.407197022716</v>
      </c>
      <c r="H6" s="12">
        <f>G6*(1+'Assumption '!$E20)</f>
        <v>48167.375033673117</v>
      </c>
      <c r="I6" s="12">
        <f>H6*(1+'Assumption '!$E20)</f>
        <v>57268.777102068176</v>
      </c>
      <c r="J6" s="12">
        <f>I6*(1+'Assumption '!$E20)</f>
        <v>68089.922452148749</v>
      </c>
      <c r="K6" s="12">
        <f>J6*(1+'Assumption '!$E20)</f>
        <v>80955.762880646522</v>
      </c>
    </row>
    <row r="7" spans="1:11">
      <c r="A7" s="16" t="s">
        <v>38</v>
      </c>
      <c r="B7" s="10">
        <f>'Consolidated Balance Sheet'!B40</f>
        <v>7161</v>
      </c>
      <c r="C7" s="10">
        <f>'Consolidated Balance Sheet'!C40</f>
        <v>12848</v>
      </c>
      <c r="D7" s="10">
        <f>'Consolidated Balance Sheet'!D40</f>
        <v>9666</v>
      </c>
      <c r="E7" s="10">
        <f>'Consolidated Balance Sheet'!E40</f>
        <v>9329</v>
      </c>
      <c r="F7" s="10">
        <f>'Consolidated Balance Sheet'!F40</f>
        <v>18221</v>
      </c>
      <c r="G7" s="12">
        <f>F7*(1+'Assumption '!$E21)</f>
        <v>19530.45083497696</v>
      </c>
      <c r="H7" s="12">
        <f>G7*(1+'Assumption '!$E21)</f>
        <v>20934.005258627531</v>
      </c>
      <c r="I7" s="12">
        <f>H7*(1+'Assumption '!$E21)</f>
        <v>22438.426018482747</v>
      </c>
      <c r="J7" s="12">
        <f>I7*(1+'Assumption '!$E21)</f>
        <v>24050.96186643132</v>
      </c>
      <c r="K7" s="12">
        <f>J7*(1+'Assumption '!$E21)</f>
        <v>25779.382485387334</v>
      </c>
    </row>
    <row r="8" spans="1:11">
      <c r="A8" s="16" t="s">
        <v>39</v>
      </c>
      <c r="B8" s="10">
        <f>'Consolidated Balance Sheet'!B41</f>
        <v>3205</v>
      </c>
      <c r="C8" s="10">
        <f>'Consolidated Balance Sheet'!C41</f>
        <v>8029</v>
      </c>
      <c r="D8" s="10">
        <f>'Consolidated Balance Sheet'!D41</f>
        <v>8475</v>
      </c>
      <c r="E8" s="10">
        <f>'Consolidated Balance Sheet'!E41</f>
        <v>11472</v>
      </c>
      <c r="F8" s="10">
        <f>'Consolidated Balance Sheet'!F41</f>
        <v>6445</v>
      </c>
      <c r="G8" s="12">
        <f>F8*(1+'Assumption '!$E22)</f>
        <v>6752.2192452232148</v>
      </c>
      <c r="H8" s="12">
        <f>G8*(1+'Assumption '!$E22)</f>
        <v>7074.0829690555101</v>
      </c>
      <c r="I8" s="12">
        <f>H8*(1+'Assumption '!$E22)</f>
        <v>7411.2892421974238</v>
      </c>
      <c r="J8" s="12">
        <f>I8*(1+'Assumption '!$E22)</f>
        <v>7764.5694108737353</v>
      </c>
      <c r="K8" s="12">
        <f>J8*(1+'Assumption '!$E22)</f>
        <v>8134.689683005914</v>
      </c>
    </row>
    <row r="9" spans="1:11">
      <c r="A9" s="16" t="s">
        <v>40</v>
      </c>
      <c r="B9" s="10">
        <f>'Consolidated Balance Sheet'!B42</f>
        <v>10182</v>
      </c>
      <c r="C9" s="10">
        <f>'Consolidated Balance Sheet'!C42</f>
        <v>14807</v>
      </c>
      <c r="D9" s="10">
        <f>'Consolidated Balance Sheet'!D42</f>
        <v>15419</v>
      </c>
      <c r="E9" s="10">
        <f>'Consolidated Balance Sheet'!E42</f>
        <v>19232</v>
      </c>
      <c r="F9" s="10">
        <f>'Consolidated Balance Sheet'!F42</f>
        <v>19288</v>
      </c>
      <c r="G9" s="12">
        <f>F9*(1+'Assumption '!$E23)</f>
        <v>21215.94723554108</v>
      </c>
      <c r="H9" s="12">
        <f>G9*(1+'Assumption '!$E23)</f>
        <v>23336.603955892951</v>
      </c>
      <c r="I9" s="12">
        <f>H9*(1+'Assumption '!$E23)</f>
        <v>25669.232589430947</v>
      </c>
      <c r="J9" s="12">
        <f>I9*(1+'Assumption '!$E23)</f>
        <v>28235.02095573406</v>
      </c>
      <c r="K9" s="12">
        <f>J9*(1+'Assumption '!$E23)</f>
        <v>31057.27471957956</v>
      </c>
    </row>
    <row r="10" spans="1:11">
      <c r="A10" s="16" t="s">
        <v>157</v>
      </c>
      <c r="B10" s="10">
        <f>'Consolidated Balance Sheet'!B31</f>
        <v>3449</v>
      </c>
      <c r="C10" s="10">
        <f>'Consolidated Balance Sheet'!C31</f>
        <v>2656</v>
      </c>
      <c r="D10" s="10">
        <f>'Consolidated Balance Sheet'!D31</f>
        <v>2828</v>
      </c>
      <c r="E10" s="10">
        <f>'Consolidated Balance Sheet'!E31</f>
        <v>3931</v>
      </c>
      <c r="F10" s="10">
        <f>'Consolidated Balance Sheet'!F31</f>
        <v>3708</v>
      </c>
      <c r="G10" s="12">
        <f>F10*(1+'Assumption '!$E24)</f>
        <v>3787.6854929233768</v>
      </c>
      <c r="H10" s="12">
        <f>G10*(1+'Assumption '!$E24)</f>
        <v>3869.0834394018889</v>
      </c>
      <c r="I10" s="12">
        <f>H10*(1+'Assumption '!$E24)</f>
        <v>3952.2306403270277</v>
      </c>
      <c r="J10" s="12">
        <f>I10*(1+'Assumption '!$E24)</f>
        <v>4037.164687447128</v>
      </c>
      <c r="K10" s="12">
        <f>J10*(1+'Assumption '!$E24)</f>
        <v>4123.9239803630062</v>
      </c>
    </row>
    <row r="11" spans="1:11">
      <c r="A11" s="16" t="s">
        <v>27</v>
      </c>
      <c r="B11" s="10">
        <f>'Consolidated Balance Sheet'!B28</f>
        <v>1278</v>
      </c>
      <c r="C11" s="10">
        <f>'Consolidated Balance Sheet'!C28</f>
        <v>963</v>
      </c>
      <c r="D11" s="10">
        <f>'Consolidated Balance Sheet'!D28</f>
        <v>906</v>
      </c>
      <c r="E11" s="10">
        <f>'Consolidated Balance Sheet'!E28</f>
        <v>926</v>
      </c>
      <c r="F11" s="10">
        <f>'Consolidated Balance Sheet'!F28</f>
        <v>1205</v>
      </c>
      <c r="G11" s="12">
        <f>F11*(1+'Assumption '!$E25)</f>
        <v>1213.3514762899754</v>
      </c>
      <c r="H11" s="12">
        <f>G11*(1+'Assumption '!$E25)</f>
        <v>1221.7608340373965</v>
      </c>
      <c r="I11" s="12">
        <f>H11*(1+'Assumption '!$E25)</f>
        <v>1230.2284744004537</v>
      </c>
      <c r="J11" s="12">
        <f>I11*(1+'Assumption '!$E25)</f>
        <v>1238.7548013176388</v>
      </c>
      <c r="K11" s="12">
        <f>J11*(1+'Assumption '!$E25)</f>
        <v>1247.3402215270144</v>
      </c>
    </row>
    <row r="12" spans="1:11">
      <c r="A12" s="13" t="s">
        <v>158</v>
      </c>
      <c r="B12" s="13">
        <f>SUM(B4:B11)</f>
        <v>62217</v>
      </c>
      <c r="C12" s="13">
        <f>SUM(C4:C11)</f>
        <v>78949</v>
      </c>
      <c r="D12" s="13">
        <f>SUM(D4:D11)</f>
        <v>88759</v>
      </c>
      <c r="E12" s="13">
        <f>SUM(E4:E11)</f>
        <v>95998</v>
      </c>
      <c r="F12" s="13">
        <f>SUM(F4:F11)</f>
        <v>104259</v>
      </c>
      <c r="G12" s="17">
        <f t="shared" ref="G12:K12" si="1">SUM(G4:G11)</f>
        <v>116288.93084396567</v>
      </c>
      <c r="H12" s="17">
        <f t="shared" si="1"/>
        <v>130031.4111959931</v>
      </c>
      <c r="I12" s="17">
        <f t="shared" si="1"/>
        <v>145762.20203184808</v>
      </c>
      <c r="J12" s="17">
        <f t="shared" si="1"/>
        <v>163804.84497899102</v>
      </c>
      <c r="K12" s="17">
        <f t="shared" si="1"/>
        <v>184539.28729577156</v>
      </c>
    </row>
    <row r="13" spans="1:11">
      <c r="A13" s="16"/>
    </row>
    <row r="14" spans="1:11">
      <c r="A14" s="15" t="s">
        <v>159</v>
      </c>
    </row>
    <row r="15" spans="1:11">
      <c r="A15" s="16" t="s">
        <v>13</v>
      </c>
      <c r="B15" s="10">
        <f>'Consolidated Balance Sheet'!B14</f>
        <v>1688</v>
      </c>
      <c r="C15" s="10">
        <f>'Consolidated Balance Sheet'!C14</f>
        <v>1874</v>
      </c>
      <c r="D15" s="10">
        <f>'Consolidated Balance Sheet'!D14</f>
        <v>8311</v>
      </c>
      <c r="E15" s="10">
        <f>'Consolidated Balance Sheet'!E14</f>
        <v>8729</v>
      </c>
      <c r="F15" s="10">
        <f>'Consolidated Balance Sheet'!F14</f>
        <v>8727</v>
      </c>
      <c r="G15" s="12">
        <f>'Reformulated Balance Sheet'!F15*(1+'Assumption '!$E30)</f>
        <v>8846.6644788146623</v>
      </c>
      <c r="H15" s="12">
        <f>'Reformulated Balance Sheet'!G15*(1+'Assumption '!$E30)</f>
        <v>8967.9697949720521</v>
      </c>
      <c r="I15" s="12">
        <f>'Reformulated Balance Sheet'!H15*(1+'Assumption '!$E30)</f>
        <v>9090.9384476065152</v>
      </c>
      <c r="J15" s="12">
        <f>'Reformulated Balance Sheet'!I15*(1+'Assumption '!$E30)</f>
        <v>9215.5932443601541</v>
      </c>
      <c r="K15" s="12">
        <f>'Reformulated Balance Sheet'!J15*(1+'Assumption '!$E30)</f>
        <v>9341.9573056130794</v>
      </c>
    </row>
    <row r="16" spans="1:11">
      <c r="A16" s="16" t="s">
        <v>14</v>
      </c>
      <c r="B16" s="10">
        <f>'Consolidated Balance Sheet'!B15</f>
        <v>26</v>
      </c>
      <c r="C16" s="10">
        <f>'Consolidated Balance Sheet'!C15</f>
        <v>0</v>
      </c>
      <c r="D16" s="10">
        <f>'Consolidated Balance Sheet'!D15</f>
        <v>0</v>
      </c>
      <c r="E16" s="10">
        <f>'Consolidated Balance Sheet'!E15</f>
        <v>0</v>
      </c>
      <c r="F16" s="10">
        <f>'Consolidated Balance Sheet'!F15</f>
        <v>0</v>
      </c>
      <c r="G16" s="12">
        <f>'Reformulated Balance Sheet'!F16*(1+'Assumption '!$E31)</f>
        <v>0</v>
      </c>
      <c r="H16" s="12">
        <f>'Reformulated Balance Sheet'!G16*(1+'Assumption '!$E31)</f>
        <v>0</v>
      </c>
      <c r="I16" s="12">
        <f>'Reformulated Balance Sheet'!H16*(1+'Assumption '!$E31)</f>
        <v>0</v>
      </c>
      <c r="J16" s="12">
        <f>'Reformulated Balance Sheet'!I16*(1+'Assumption '!$E31)</f>
        <v>0</v>
      </c>
      <c r="K16" s="12">
        <f>'Reformulated Balance Sheet'!J16*(1+'Assumption '!$E31)</f>
        <v>0</v>
      </c>
    </row>
    <row r="17" spans="1:11">
      <c r="A17" s="16" t="s">
        <v>18</v>
      </c>
      <c r="B17" s="10">
        <f>'Consolidated Balance Sheet'!B19</f>
        <v>5094</v>
      </c>
      <c r="C17" s="10">
        <f>'Consolidated Balance Sheet'!C19</f>
        <v>6292</v>
      </c>
      <c r="D17" s="10">
        <f>'Consolidated Balance Sheet'!D19</f>
        <v>6740</v>
      </c>
      <c r="E17" s="10">
        <f>'Consolidated Balance Sheet'!E19</f>
        <v>7860</v>
      </c>
      <c r="F17" s="10">
        <f>'Consolidated Balance Sheet'!F19</f>
        <v>8045</v>
      </c>
      <c r="G17" s="12">
        <f>'Reformulated Balance Sheet'!F17*(1+'Assumption '!$E32)</f>
        <v>8394.3350477697131</v>
      </c>
      <c r="H17" s="12">
        <f>'Reformulated Balance Sheet'!G17*(1+'Assumption '!$E32)</f>
        <v>8758.8391416053382</v>
      </c>
      <c r="I17" s="12">
        <f>'Reformulated Balance Sheet'!H17*(1+'Assumption '!$E32)</f>
        <v>9139.1709613617004</v>
      </c>
      <c r="J17" s="12">
        <f>'Reformulated Balance Sheet'!I17*(1+'Assumption '!$E32)</f>
        <v>9536.0177885043813</v>
      </c>
      <c r="K17" s="12">
        <f>'Reformulated Balance Sheet'!J17*(1+'Assumption '!$E32)</f>
        <v>9950.0967480668442</v>
      </c>
    </row>
    <row r="18" spans="1:11">
      <c r="A18" s="16" t="s">
        <v>19</v>
      </c>
      <c r="B18" s="10">
        <f>'Consolidated Balance Sheet'!B20</f>
        <v>12313</v>
      </c>
      <c r="C18" s="10">
        <f>'Consolidated Balance Sheet'!C20</f>
        <v>15553</v>
      </c>
      <c r="D18" s="10">
        <f>'Consolidated Balance Sheet'!D20</f>
        <v>20027</v>
      </c>
      <c r="E18" s="10">
        <f>'Consolidated Balance Sheet'!E20</f>
        <v>24901</v>
      </c>
      <c r="F18" s="10">
        <f>'Consolidated Balance Sheet'!F20</f>
        <v>32895</v>
      </c>
      <c r="G18" s="12">
        <f>'Reformulated Balance Sheet'!F18*(1+'Assumption '!$E33)</f>
        <v>37217.622175649871</v>
      </c>
      <c r="H18" s="12">
        <f>'Reformulated Balance Sheet'!G18*(1+'Assumption '!$E33)</f>
        <v>42108.265706320868</v>
      </c>
      <c r="I18" s="12">
        <f>'Reformulated Balance Sheet'!H18*(1+'Assumption '!$E33)</f>
        <v>47641.57238272456</v>
      </c>
      <c r="J18" s="12">
        <f>'Reformulated Balance Sheet'!I18*(1+'Assumption '!$E33)</f>
        <v>53901.992424201795</v>
      </c>
      <c r="K18" s="12">
        <f>'Reformulated Balance Sheet'!J18*(1+'Assumption '!$E33)</f>
        <v>60985.07337159702</v>
      </c>
    </row>
    <row r="19" spans="1:11">
      <c r="A19" s="16" t="s">
        <v>20</v>
      </c>
      <c r="B19" s="10">
        <f>'Consolidated Balance Sheet'!B21</f>
        <v>240</v>
      </c>
      <c r="C19" s="10">
        <f>'Consolidated Balance Sheet'!C21</f>
        <v>239</v>
      </c>
      <c r="D19" s="10">
        <f>'Consolidated Balance Sheet'!D21</f>
        <v>293</v>
      </c>
      <c r="E19" s="10">
        <f>'Consolidated Balance Sheet'!E21</f>
        <v>1394</v>
      </c>
      <c r="F19" s="10">
        <f>'Consolidated Balance Sheet'!F21</f>
        <v>1411</v>
      </c>
      <c r="G19" s="12">
        <f>'Reformulated Balance Sheet'!F19*(1+'Assumption '!$E34)</f>
        <v>1417.0101413449261</v>
      </c>
      <c r="H19" s="12">
        <f>'Reformulated Balance Sheet'!G19*(1+'Assumption '!$E34)</f>
        <v>1423.045882830877</v>
      </c>
      <c r="I19" s="12">
        <f>'Reformulated Balance Sheet'!H19*(1+'Assumption '!$E34)</f>
        <v>1429.1073335014146</v>
      </c>
      <c r="J19" s="12">
        <f>'Reformulated Balance Sheet'!I19*(1+'Assumption '!$E34)</f>
        <v>1435.1946028645712</v>
      </c>
      <c r="K19" s="12">
        <f>'Reformulated Balance Sheet'!J19*(1+'Assumption '!$E34)</f>
        <v>1441.3078008948271</v>
      </c>
    </row>
    <row r="20" spans="1:11">
      <c r="A20" s="16" t="s">
        <v>12</v>
      </c>
      <c r="B20" s="10">
        <f>'Consolidated Balance Sheet'!B13</f>
        <v>1170</v>
      </c>
      <c r="C20" s="10">
        <f>'Consolidated Balance Sheet'!C13</f>
        <v>1042</v>
      </c>
      <c r="D20" s="10">
        <f>'Consolidated Balance Sheet'!D13</f>
        <v>779</v>
      </c>
      <c r="E20" s="10">
        <f>'Consolidated Balance Sheet'!E13</f>
        <v>767</v>
      </c>
      <c r="F20" s="10">
        <f>'Consolidated Balance Sheet'!F13</f>
        <v>590</v>
      </c>
      <c r="G20" s="12">
        <f>'Reformulated Balance Sheet'!F20*(1+'Assumption '!$E35)</f>
        <v>593.46101383141558</v>
      </c>
      <c r="H20" s="12">
        <f>'Reformulated Balance Sheet'!G20*(1+'Assumption '!$E35)</f>
        <v>596.94233040307063</v>
      </c>
      <c r="I20" s="12">
        <f>'Reformulated Balance Sheet'!H20*(1+'Assumption '!$E35)</f>
        <v>600.44406881337989</v>
      </c>
      <c r="J20" s="12">
        <f>'Reformulated Balance Sheet'!I20*(1+'Assumption '!$E35)</f>
        <v>603.96634885940455</v>
      </c>
      <c r="K20" s="12">
        <f>'Reformulated Balance Sheet'!J20*(1+'Assumption '!$E35)</f>
        <v>607.5092910409503</v>
      </c>
    </row>
    <row r="21" spans="1:11">
      <c r="A21" s="13" t="s">
        <v>160</v>
      </c>
      <c r="B21" s="13">
        <f>SUM(B15:B20)</f>
        <v>20531</v>
      </c>
      <c r="C21" s="13">
        <f t="shared" ref="C21:G21" si="2">SUM(C15:C20)</f>
        <v>25000</v>
      </c>
      <c r="D21" s="13">
        <f t="shared" si="2"/>
        <v>36150</v>
      </c>
      <c r="E21" s="13">
        <f t="shared" si="2"/>
        <v>43651</v>
      </c>
      <c r="F21" s="13">
        <f t="shared" si="2"/>
        <v>51668</v>
      </c>
      <c r="G21" s="17">
        <f t="shared" si="2"/>
        <v>56469.092857410586</v>
      </c>
      <c r="H21" s="17">
        <f t="shared" ref="H21:K21" si="3">SUM(H15:H20)</f>
        <v>61855.062856132208</v>
      </c>
      <c r="I21" s="17">
        <f t="shared" si="3"/>
        <v>67901.233194007553</v>
      </c>
      <c r="J21" s="17">
        <f t="shared" si="3"/>
        <v>74692.764408790317</v>
      </c>
      <c r="K21" s="17">
        <f t="shared" si="3"/>
        <v>82325.944517212702</v>
      </c>
    </row>
    <row r="22" spans="1:11">
      <c r="A22" s="16"/>
    </row>
    <row r="23" spans="1:11">
      <c r="A23" s="15" t="s">
        <v>161</v>
      </c>
    </row>
    <row r="24" spans="1:11">
      <c r="A24" s="16" t="s">
        <v>29</v>
      </c>
      <c r="B24" s="10">
        <f>'Consolidated Balance Sheet'!B30</f>
        <v>301</v>
      </c>
      <c r="C24" s="10">
        <f>'Consolidated Balance Sheet'!C30</f>
        <v>239</v>
      </c>
      <c r="D24" s="10">
        <f>'Consolidated Balance Sheet'!D30</f>
        <v>216</v>
      </c>
      <c r="E24" s="10">
        <f>'Consolidated Balance Sheet'!E30</f>
        <v>213</v>
      </c>
      <c r="F24" s="10">
        <f>'Consolidated Balance Sheet'!F30</f>
        <v>223</v>
      </c>
      <c r="G24" s="12">
        <f>F24*(1+'Assumption '!$E39)</f>
        <v>223.35294077955868</v>
      </c>
      <c r="H24" s="12">
        <f>G24*(1+'Assumption '!$E39)</f>
        <v>223.70644015639931</v>
      </c>
      <c r="I24" s="12">
        <f>H24*(1+'Assumption '!$E39)</f>
        <v>224.06049901461051</v>
      </c>
      <c r="J24" s="12">
        <f>I24*(1+'Assumption '!$E39)</f>
        <v>224.41511823968011</v>
      </c>
      <c r="K24" s="12">
        <f>J24*(1+'Assumption '!$E39)</f>
        <v>224.77029871849746</v>
      </c>
    </row>
    <row r="25" spans="1:11">
      <c r="A25" s="16" t="s">
        <v>31</v>
      </c>
      <c r="B25" s="10">
        <f>'Consolidated Balance Sheet'!B32</f>
        <v>1975</v>
      </c>
      <c r="C25" s="10">
        <f>'Consolidated Balance Sheet'!C32</f>
        <v>60</v>
      </c>
      <c r="D25" s="10">
        <f>'Consolidated Balance Sheet'!D32</f>
        <v>29</v>
      </c>
      <c r="E25" s="10">
        <f>'Consolidated Balance Sheet'!E32</f>
        <v>29</v>
      </c>
      <c r="F25" s="10">
        <f>'Consolidated Balance Sheet'!F32</f>
        <v>311</v>
      </c>
      <c r="G25" s="12">
        <f>F25*(1+'Assumption '!$E40)</f>
        <v>312.14673704855784</v>
      </c>
      <c r="H25" s="12">
        <f>G25*(1+'Assumption '!$E40)</f>
        <v>313.29770241177334</v>
      </c>
      <c r="I25" s="12">
        <f>H25*(1+'Assumption '!$E40)</f>
        <v>314.45291168053103</v>
      </c>
      <c r="J25" s="12">
        <f>I25*(1+'Assumption '!$E40)</f>
        <v>315.61238050320293</v>
      </c>
      <c r="K25" s="12">
        <f>J25*(1+'Assumption '!$E40)</f>
        <v>316.77612458586071</v>
      </c>
    </row>
    <row r="26" spans="1:11">
      <c r="A26" s="16" t="s">
        <v>32</v>
      </c>
      <c r="B26" s="10">
        <f>'Consolidated Balance Sheet'!B33</f>
        <v>6096</v>
      </c>
      <c r="C26" s="10">
        <f>'Consolidated Balance Sheet'!C33</f>
        <v>6604</v>
      </c>
      <c r="D26" s="10">
        <f>'Consolidated Balance Sheet'!D33</f>
        <v>5755</v>
      </c>
      <c r="E26" s="10">
        <f>'Consolidated Balance Sheet'!E33</f>
        <v>5359</v>
      </c>
      <c r="F26" s="10">
        <f>'Consolidated Balance Sheet'!F33</f>
        <v>6459</v>
      </c>
      <c r="G26" s="12">
        <f>F26*(1+'Assumption '!$E41)</f>
        <v>6714.2626986190053</v>
      </c>
      <c r="H26" s="12">
        <f>G26*(1+'Assumption '!$E41)</f>
        <v>6979.6134983846678</v>
      </c>
      <c r="I26" s="12">
        <f>H26*(1+'Assumption '!$E41)</f>
        <v>7255.4510857689856</v>
      </c>
      <c r="J26" s="12">
        <f>I26*(1+'Assumption '!$E41)</f>
        <v>7542.1899035196566</v>
      </c>
      <c r="K26" s="12">
        <f>J26*(1+'Assumption '!$E41)</f>
        <v>7840.2607733554587</v>
      </c>
    </row>
    <row r="27" spans="1:11">
      <c r="A27" s="16" t="s">
        <v>35</v>
      </c>
      <c r="B27" s="10">
        <f>'Consolidated Balance Sheet'!B37</f>
        <v>35707</v>
      </c>
      <c r="C27" s="10">
        <f>'Consolidated Balance Sheet'!C37</f>
        <v>29091</v>
      </c>
      <c r="D27" s="10">
        <f>'Consolidated Balance Sheet'!D37</f>
        <v>26140</v>
      </c>
      <c r="E27" s="10">
        <f>'Consolidated Balance Sheet'!E37</f>
        <v>29160</v>
      </c>
      <c r="F27" s="10">
        <f>'Consolidated Balance Sheet'!F37</f>
        <v>30262</v>
      </c>
      <c r="G27" s="12">
        <f>F27*(1+'Assumption '!$E42)</f>
        <v>36257.8705573525</v>
      </c>
      <c r="H27" s="12">
        <f>G27*(1+'Assumption '!$E42)</f>
        <v>43441.714934694646</v>
      </c>
      <c r="I27" s="12">
        <f>H27*(1+'Assumption '!$E42)</f>
        <v>52048.908759882543</v>
      </c>
      <c r="J27" s="12">
        <f>I27*(1+'Assumption '!$E42)</f>
        <v>62361.463104463422</v>
      </c>
      <c r="K27" s="12">
        <f>J27*(1+'Assumption '!$E42)</f>
        <v>74717.264457363985</v>
      </c>
    </row>
    <row r="28" spans="1:11">
      <c r="A28" s="13" t="s">
        <v>162</v>
      </c>
      <c r="B28" s="13">
        <f>SUM(B24:B27)</f>
        <v>44079</v>
      </c>
      <c r="C28" s="13">
        <f t="shared" ref="C28:G28" si="4">SUM(C24:C27)</f>
        <v>35994</v>
      </c>
      <c r="D28" s="13">
        <f t="shared" si="4"/>
        <v>32140</v>
      </c>
      <c r="E28" s="13">
        <f t="shared" si="4"/>
        <v>34761</v>
      </c>
      <c r="F28" s="13">
        <f t="shared" si="4"/>
        <v>37255</v>
      </c>
      <c r="G28" s="17">
        <f t="shared" si="4"/>
        <v>43507.632933799621</v>
      </c>
      <c r="H28" s="17">
        <f t="shared" ref="H28:K28" si="5">SUM(H24:H27)</f>
        <v>50958.332575647488</v>
      </c>
      <c r="I28" s="17">
        <f t="shared" si="5"/>
        <v>59842.873256346669</v>
      </c>
      <c r="J28" s="17">
        <f t="shared" si="5"/>
        <v>70443.680506725956</v>
      </c>
      <c r="K28" s="17">
        <f t="shared" si="5"/>
        <v>83099.071654023806</v>
      </c>
    </row>
    <row r="29" spans="1:11">
      <c r="A29" s="15"/>
    </row>
    <row r="30" spans="1:11">
      <c r="A30" s="15" t="s">
        <v>163</v>
      </c>
    </row>
    <row r="31" spans="1:11">
      <c r="A31" s="16" t="s">
        <v>11</v>
      </c>
      <c r="B31" s="10">
        <f>'Consolidated Balance Sheet'!B12</f>
        <v>54</v>
      </c>
      <c r="C31" s="10">
        <f>'Consolidated Balance Sheet'!C12</f>
        <v>44</v>
      </c>
      <c r="D31" s="10">
        <f>'Consolidated Balance Sheet'!D12</f>
        <v>0</v>
      </c>
      <c r="E31" s="10">
        <f>'Consolidated Balance Sheet'!E12</f>
        <v>0</v>
      </c>
      <c r="F31" s="10">
        <f>'Consolidated Balance Sheet'!F12</f>
        <v>0</v>
      </c>
      <c r="G31" s="12">
        <f>F31*(1+'Assumption '!$E46)</f>
        <v>0</v>
      </c>
      <c r="H31" s="12">
        <f>G31*(1+'Assumption '!$E46)</f>
        <v>0</v>
      </c>
      <c r="I31" s="12">
        <f>H31*(1+'Assumption '!$E46)</f>
        <v>0</v>
      </c>
      <c r="J31" s="12">
        <f>I31*(1+'Assumption '!$E46)</f>
        <v>0</v>
      </c>
      <c r="K31" s="12">
        <f>J31*(1+'Assumption '!$E46)</f>
        <v>0</v>
      </c>
    </row>
    <row r="32" spans="1:11">
      <c r="A32" s="16" t="s">
        <v>17</v>
      </c>
      <c r="B32" s="10">
        <f>'Consolidated Balance Sheet'!B18</f>
        <v>181</v>
      </c>
      <c r="C32" s="10">
        <f>'Consolidated Balance Sheet'!C18</f>
        <v>0</v>
      </c>
      <c r="D32" s="10">
        <f>'Consolidated Balance Sheet'!D18</f>
        <v>0</v>
      </c>
      <c r="E32" s="10">
        <f>'Consolidated Balance Sheet'!E18</f>
        <v>0</v>
      </c>
      <c r="F32" s="10">
        <f>'Consolidated Balance Sheet'!F18</f>
        <v>0</v>
      </c>
      <c r="G32" s="12">
        <f>F32*(1+'Assumption '!$E47)</f>
        <v>0</v>
      </c>
      <c r="H32" s="12">
        <f>G32*(1+'Assumption '!$E47)</f>
        <v>0</v>
      </c>
      <c r="I32" s="12">
        <f>H32*(1+'Assumption '!$E47)</f>
        <v>0</v>
      </c>
      <c r="J32" s="12">
        <f>I32*(1+'Assumption '!$E47)</f>
        <v>0</v>
      </c>
      <c r="K32" s="12">
        <f>J32*(1+'Assumption '!$E47)</f>
        <v>0</v>
      </c>
    </row>
    <row r="33" spans="1:17">
      <c r="A33" s="13" t="s">
        <v>164</v>
      </c>
      <c r="B33" s="13">
        <f>SUM(B31:B32)</f>
        <v>235</v>
      </c>
      <c r="C33" s="13">
        <f t="shared" ref="C33:G33" si="6">SUM(C31:C32)</f>
        <v>44</v>
      </c>
      <c r="D33" s="13">
        <f t="shared" si="6"/>
        <v>0</v>
      </c>
      <c r="E33" s="13">
        <f t="shared" si="6"/>
        <v>0</v>
      </c>
      <c r="F33" s="13">
        <f t="shared" si="6"/>
        <v>0</v>
      </c>
      <c r="G33" s="17">
        <f t="shared" si="6"/>
        <v>0</v>
      </c>
      <c r="H33" s="17">
        <f t="shared" ref="H33:K33" si="7">SUM(H31:H32)</f>
        <v>0</v>
      </c>
      <c r="I33" s="17">
        <f t="shared" si="7"/>
        <v>0</v>
      </c>
      <c r="J33" s="17">
        <f t="shared" si="7"/>
        <v>0</v>
      </c>
      <c r="K33" s="17">
        <f t="shared" si="7"/>
        <v>0</v>
      </c>
    </row>
    <row r="34" spans="1:17">
      <c r="A34" s="15"/>
    </row>
    <row r="35" spans="1:17">
      <c r="A35" s="15" t="s">
        <v>165</v>
      </c>
    </row>
    <row r="36" spans="1:17">
      <c r="A36" s="16" t="s">
        <v>317</v>
      </c>
      <c r="B36" s="10">
        <f>'Consolidated Balance Sheet'!B10</f>
        <v>402</v>
      </c>
      <c r="C36" s="10">
        <f>'Consolidated Balance Sheet'!C10</f>
        <v>453</v>
      </c>
      <c r="D36" s="10">
        <f>'Consolidated Balance Sheet'!D10</f>
        <v>623</v>
      </c>
      <c r="E36" s="10">
        <f>'Consolidated Balance Sheet'!E10</f>
        <v>675</v>
      </c>
      <c r="F36" s="10">
        <f>'Consolidated Balance Sheet'!F10</f>
        <v>707</v>
      </c>
      <c r="G36" s="12">
        <f>F36*(1+'Assumption '!$E51)</f>
        <v>709.56306407997033</v>
      </c>
      <c r="H36" s="12">
        <f>G36*(1+'Assumption '!$E51)</f>
        <v>712.135419952696</v>
      </c>
      <c r="I36" s="12">
        <f>H36*(1+'Assumption '!$E51)</f>
        <v>714.7171013034108</v>
      </c>
      <c r="J36" s="12">
        <f>I36*(1+'Assumption '!$E51)</f>
        <v>717.3081419394664</v>
      </c>
      <c r="K36" s="12">
        <f>J36*(1+'Assumption '!$E51)</f>
        <v>719.90857579077522</v>
      </c>
    </row>
    <row r="37" spans="1:17">
      <c r="A37" s="16" t="s">
        <v>4</v>
      </c>
      <c r="B37" s="10">
        <f>'Consolidated Balance Sheet'!B5</f>
        <v>191</v>
      </c>
      <c r="C37" s="10">
        <f>'Consolidated Balance Sheet'!C5</f>
        <v>375</v>
      </c>
      <c r="D37" s="10">
        <f>'Consolidated Balance Sheet'!D5</f>
        <v>375</v>
      </c>
      <c r="E37" s="10">
        <f>'Consolidated Balance Sheet'!E5</f>
        <v>370</v>
      </c>
      <c r="F37" s="10">
        <f>'Consolidated Balance Sheet'!F5</f>
        <v>366</v>
      </c>
      <c r="G37" s="12">
        <f>F37*(1+'Assumption '!$E52)</f>
        <v>366.78057399871989</v>
      </c>
      <c r="H37" s="12">
        <f>G37*(1+'Assumption '!$E52)</f>
        <v>367.56281273997388</v>
      </c>
      <c r="I37" s="12">
        <f>H37*(1+'Assumption '!$E52)</f>
        <v>368.34671977418475</v>
      </c>
      <c r="J37" s="12">
        <f>I37*(1+'Assumption '!$E52)</f>
        <v>369.13229865934727</v>
      </c>
      <c r="K37" s="12">
        <f>J37*(1+'Assumption '!$E52)</f>
        <v>369.91955296104453</v>
      </c>
    </row>
    <row r="38" spans="1:17">
      <c r="A38" s="16" t="s">
        <v>167</v>
      </c>
      <c r="B38" s="10">
        <v>0</v>
      </c>
      <c r="C38" s="10">
        <v>0</v>
      </c>
      <c r="D38" s="10">
        <v>0</v>
      </c>
      <c r="E38" s="10">
        <v>0</v>
      </c>
      <c r="F38" s="10">
        <v>0</v>
      </c>
      <c r="G38" s="12">
        <f>F38*(1+'Assumption '!$E53)</f>
        <v>0</v>
      </c>
      <c r="H38" s="12">
        <f>G38*(1+'Assumption '!$E53)</f>
        <v>0</v>
      </c>
      <c r="I38" s="12">
        <f>H38*(1+'Assumption '!$E53)</f>
        <v>0</v>
      </c>
      <c r="J38" s="12">
        <f>I38*(1+'Assumption '!$E53)</f>
        <v>0</v>
      </c>
      <c r="K38" s="12">
        <f>J38*(1+'Assumption '!$E53)</f>
        <v>0</v>
      </c>
    </row>
    <row r="39" spans="1:17">
      <c r="A39" s="16" t="s">
        <v>6</v>
      </c>
      <c r="B39" s="10">
        <f>'Consolidated Balance Sheet'!B7</f>
        <v>84937</v>
      </c>
      <c r="C39" s="10">
        <f>'Consolidated Balance Sheet'!C7</f>
        <v>89071</v>
      </c>
      <c r="D39" s="10">
        <f>'Consolidated Balance Sheet'!D7</f>
        <v>83751</v>
      </c>
      <c r="E39" s="10">
        <f>'Consolidated Balance Sheet'!E7</f>
        <v>86063</v>
      </c>
      <c r="F39" s="10">
        <f>'Consolidated Balance Sheet'!F7</f>
        <v>88773</v>
      </c>
      <c r="G39" s="12">
        <f>F39*(1+'Assumption '!$E54)</f>
        <v>138821.23711435206</v>
      </c>
      <c r="H39" s="12">
        <f>G39*(1+'Assumption '!$E54)</f>
        <v>217085.5538729023</v>
      </c>
      <c r="I39" s="12">
        <f>H39*(1+'Assumption '!$E54)</f>
        <v>339473.54655458994</v>
      </c>
      <c r="J39" s="12">
        <f>I39*(1+'Assumption '!$E54)</f>
        <v>530861.15936495061</v>
      </c>
      <c r="K39" s="12">
        <f>J39*(1+'Assumption '!$E54)</f>
        <v>830148.8389375332</v>
      </c>
      <c r="M39" s="92"/>
      <c r="N39" s="92"/>
      <c r="O39" s="92"/>
      <c r="P39" s="92"/>
      <c r="Q39" s="92"/>
    </row>
    <row r="40" spans="1:17">
      <c r="A40" s="13" t="s">
        <v>168</v>
      </c>
      <c r="B40" s="13">
        <f>SUM(B36:B39)</f>
        <v>85530</v>
      </c>
      <c r="C40" s="13">
        <f t="shared" ref="C40:G40" si="8">SUM(C36:C39)</f>
        <v>89899</v>
      </c>
      <c r="D40" s="13">
        <f t="shared" si="8"/>
        <v>84749</v>
      </c>
      <c r="E40" s="13">
        <f t="shared" si="8"/>
        <v>87108</v>
      </c>
      <c r="F40" s="13">
        <f t="shared" si="8"/>
        <v>89846</v>
      </c>
      <c r="G40" s="17">
        <f t="shared" si="8"/>
        <v>139897.58075243075</v>
      </c>
      <c r="H40" s="17">
        <f t="shared" ref="H40:K40" si="9">SUM(H36:H39)</f>
        <v>218165.25210559496</v>
      </c>
      <c r="I40" s="17">
        <f t="shared" si="9"/>
        <v>340556.61037566751</v>
      </c>
      <c r="J40" s="17">
        <f t="shared" si="9"/>
        <v>531947.59980554937</v>
      </c>
      <c r="K40" s="17">
        <f t="shared" si="9"/>
        <v>831238.66706628504</v>
      </c>
    </row>
    <row r="41" spans="1:17">
      <c r="A41" s="16"/>
    </row>
    <row r="42" spans="1:17">
      <c r="A42" s="18" t="s">
        <v>169</v>
      </c>
      <c r="B42" s="12">
        <f>B12</f>
        <v>62217</v>
      </c>
      <c r="C42" s="12">
        <f>C12</f>
        <v>78949</v>
      </c>
      <c r="D42" s="12">
        <f>D12</f>
        <v>88759</v>
      </c>
      <c r="E42" s="12">
        <f>E12</f>
        <v>95998</v>
      </c>
      <c r="F42" s="12">
        <f>F12</f>
        <v>104259</v>
      </c>
      <c r="G42" s="12">
        <f>F42*(1+'Assumption '!$E57)</f>
        <v>236792.69796757214</v>
      </c>
      <c r="H42" s="12">
        <f>G42*(1+'Assumption '!$E57)</f>
        <v>537802.79698406695</v>
      </c>
      <c r="I42" s="12">
        <f>H42*(1+'Assumption '!$E57)</f>
        <v>1221455.9440658714</v>
      </c>
      <c r="J42" s="12">
        <f>I42*(1+'Assumption '!$E57)</f>
        <v>2774166.723677434</v>
      </c>
      <c r="K42" s="12">
        <f>J42*(1+'Assumption '!$E57)</f>
        <v>6300678.3405887242</v>
      </c>
    </row>
    <row r="43" spans="1:17">
      <c r="A43" s="18" t="s">
        <v>170</v>
      </c>
      <c r="B43" s="12">
        <f>B28</f>
        <v>44079</v>
      </c>
      <c r="C43" s="12">
        <f t="shared" ref="C43:F43" si="10">C28</f>
        <v>35994</v>
      </c>
      <c r="D43" s="12">
        <f t="shared" si="10"/>
        <v>32140</v>
      </c>
      <c r="E43" s="12">
        <f t="shared" si="10"/>
        <v>34761</v>
      </c>
      <c r="F43" s="12">
        <f t="shared" si="10"/>
        <v>37255</v>
      </c>
      <c r="G43" s="12">
        <f>F43*(1+'Assumption '!$E58)</f>
        <v>37829.99756303613</v>
      </c>
      <c r="H43" s="12">
        <f>G43*(1+'Assumption '!$E58)</f>
        <v>38413.869698545685</v>
      </c>
      <c r="I43" s="12">
        <f>H43*(1+'Assumption '!$E58)</f>
        <v>39006.753377607587</v>
      </c>
      <c r="J43" s="12">
        <f>I43*(1+'Assumption '!$E58)</f>
        <v>39608.787685326701</v>
      </c>
      <c r="K43" s="12">
        <f>J43*(1+'Assumption '!$E58)</f>
        <v>40220.113853461939</v>
      </c>
    </row>
    <row r="44" spans="1:17">
      <c r="A44" s="18" t="s">
        <v>171</v>
      </c>
      <c r="B44" s="12">
        <f>B40</f>
        <v>85530</v>
      </c>
      <c r="C44" s="12">
        <f t="shared" ref="C44:F44" si="11">C40</f>
        <v>89899</v>
      </c>
      <c r="D44" s="12">
        <f t="shared" si="11"/>
        <v>84749</v>
      </c>
      <c r="E44" s="12">
        <f t="shared" si="11"/>
        <v>87108</v>
      </c>
      <c r="F44" s="12">
        <f t="shared" si="11"/>
        <v>89846</v>
      </c>
      <c r="G44" s="12">
        <f>F44*(1+'Assumption '!$E59)</f>
        <v>178532.28119612604</v>
      </c>
      <c r="H44" s="12">
        <f>G44*(1+'Assumption '!$E59)</f>
        <v>354760.09426232247</v>
      </c>
      <c r="I44" s="12">
        <f>H44*(1+'Assumption '!$E59)</f>
        <v>704940.9979966291</v>
      </c>
      <c r="J44" s="12">
        <f>I44*(1+'Assumption '!$E59)</f>
        <v>1400782.7224474314</v>
      </c>
      <c r="K44" s="12">
        <f>J44*(1+'Assumption '!$E59)</f>
        <v>2783484.3498726687</v>
      </c>
    </row>
    <row r="45" spans="1:17">
      <c r="A45" s="13" t="s">
        <v>172</v>
      </c>
      <c r="B45" s="13">
        <f t="shared" ref="B45:G45" si="12">B12+B28</f>
        <v>106296</v>
      </c>
      <c r="C45" s="13">
        <f t="shared" si="12"/>
        <v>114943</v>
      </c>
      <c r="D45" s="13">
        <f t="shared" si="12"/>
        <v>120899</v>
      </c>
      <c r="E45" s="13">
        <f t="shared" si="12"/>
        <v>130759</v>
      </c>
      <c r="F45" s="13">
        <f t="shared" si="12"/>
        <v>141514</v>
      </c>
      <c r="G45" s="17">
        <f t="shared" si="12"/>
        <v>159796.56377776529</v>
      </c>
      <c r="H45" s="17">
        <f t="shared" ref="H45:K45" si="13">H12+H28</f>
        <v>180989.74377164058</v>
      </c>
      <c r="I45" s="17">
        <f t="shared" si="13"/>
        <v>205605.07528819476</v>
      </c>
      <c r="J45" s="17">
        <f t="shared" si="13"/>
        <v>234248.52548571699</v>
      </c>
      <c r="K45" s="17">
        <f t="shared" si="13"/>
        <v>267638.35894979537</v>
      </c>
    </row>
    <row r="46" spans="1:17">
      <c r="A46" s="13" t="s">
        <v>173</v>
      </c>
      <c r="B46" s="13">
        <f>B21+B33+B40</f>
        <v>106296</v>
      </c>
      <c r="C46" s="13">
        <f t="shared" ref="C46:F46" si="14">C21+C33+C40</f>
        <v>114943</v>
      </c>
      <c r="D46" s="13">
        <f t="shared" si="14"/>
        <v>120899</v>
      </c>
      <c r="E46" s="13">
        <f t="shared" si="14"/>
        <v>130759</v>
      </c>
      <c r="F46" s="13">
        <f t="shared" si="14"/>
        <v>141514</v>
      </c>
      <c r="G46" s="17">
        <f t="shared" ref="G46:K46" si="15">G21+G33+G40</f>
        <v>196366.67360984132</v>
      </c>
      <c r="H46" s="17">
        <f t="shared" si="15"/>
        <v>280020.31496172718</v>
      </c>
      <c r="I46" s="17">
        <f t="shared" si="15"/>
        <v>408457.84356967505</v>
      </c>
      <c r="J46" s="17">
        <f t="shared" si="15"/>
        <v>606640.36421433964</v>
      </c>
      <c r="K46" s="17">
        <f t="shared" si="15"/>
        <v>913564.61158349772</v>
      </c>
    </row>
    <row r="47" spans="1:17">
      <c r="A47" s="19" t="s">
        <v>174</v>
      </c>
      <c r="B47" s="12">
        <f>B45-B46</f>
        <v>0</v>
      </c>
      <c r="C47" s="12">
        <f t="shared" ref="C47:K47" si="16">C45-C46</f>
        <v>0</v>
      </c>
      <c r="D47" s="12">
        <f t="shared" si="16"/>
        <v>0</v>
      </c>
      <c r="E47" s="12">
        <f t="shared" si="16"/>
        <v>0</v>
      </c>
      <c r="F47" s="12">
        <f t="shared" si="16"/>
        <v>0</v>
      </c>
      <c r="G47" s="12">
        <f>G46-G45</f>
        <v>36570.109832076036</v>
      </c>
      <c r="H47" s="12">
        <f t="shared" ref="H47:K47" si="17">H46-H45</f>
        <v>99030.571190086601</v>
      </c>
      <c r="I47" s="12">
        <f t="shared" si="17"/>
        <v>202852.7682814803</v>
      </c>
      <c r="J47" s="12">
        <f t="shared" si="17"/>
        <v>372391.83872862265</v>
      </c>
      <c r="K47" s="12">
        <f t="shared" si="17"/>
        <v>645926.25263370236</v>
      </c>
    </row>
    <row r="48" spans="1:17">
      <c r="A48" s="20" t="s">
        <v>175</v>
      </c>
      <c r="B48" s="12">
        <f>B45-'Consolidated Balance Sheet'!B44</f>
        <v>0</v>
      </c>
      <c r="C48" s="12">
        <f>C45-'Consolidated Balance Sheet'!C44</f>
        <v>0</v>
      </c>
      <c r="D48" s="12">
        <f>D45-'Consolidated Balance Sheet'!D44</f>
        <v>0</v>
      </c>
      <c r="E48" s="12">
        <f>E45-'Consolidated Balance Sheet'!E44</f>
        <v>0</v>
      </c>
      <c r="F48" s="12">
        <f>F45-'Consolidated Balance Sheet'!F44</f>
        <v>0</v>
      </c>
    </row>
    <row r="49" spans="1:11">
      <c r="B49" s="12">
        <f>B46-'Consolidated Balance Sheet'!B23</f>
        <v>0</v>
      </c>
      <c r="C49" s="12">
        <f>C46-'Consolidated Balance Sheet'!C23</f>
        <v>0</v>
      </c>
      <c r="D49" s="12">
        <f>D46-'Consolidated Balance Sheet'!D23</f>
        <v>0</v>
      </c>
      <c r="E49" s="12">
        <f>E46-'Consolidated Balance Sheet'!E23</f>
        <v>0</v>
      </c>
      <c r="F49" s="12">
        <f>F46-'Consolidated Balance Sheet'!F23</f>
        <v>0</v>
      </c>
    </row>
    <row r="50" spans="1:11">
      <c r="A50" s="28"/>
    </row>
    <row r="51" spans="1:11">
      <c r="A51" s="85"/>
      <c r="B51" s="84"/>
    </row>
    <row r="52" spans="1:11">
      <c r="A52" s="83"/>
      <c r="B52" s="84"/>
    </row>
    <row r="53" spans="1:11">
      <c r="A53" s="83"/>
      <c r="B53" s="103"/>
      <c r="C53" s="104"/>
      <c r="D53" s="104"/>
      <c r="E53" s="104"/>
      <c r="F53" s="104"/>
    </row>
    <row r="54" spans="1:11">
      <c r="A54" s="85"/>
      <c r="B54" s="105"/>
      <c r="C54" s="105"/>
      <c r="D54" s="105"/>
      <c r="E54" s="105"/>
      <c r="F54" s="105"/>
      <c r="G54" s="102"/>
      <c r="H54" s="102"/>
      <c r="I54" s="102"/>
      <c r="J54" s="102"/>
      <c r="K54" s="102"/>
    </row>
    <row r="55" spans="1:11">
      <c r="A55" s="83"/>
      <c r="B55" s="83"/>
    </row>
    <row r="56" spans="1:11">
      <c r="A56" s="85"/>
      <c r="B56" s="83"/>
    </row>
    <row r="57" spans="1:11">
      <c r="A57" s="28"/>
    </row>
    <row r="58" spans="1:11">
      <c r="A58" s="28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11B75B-0EE7-7F42-9C33-0B4F766DF964}">
  <dimension ref="A1:K34"/>
  <sheetViews>
    <sheetView zoomScaleNormal="100" workbookViewId="0">
      <selection activeCell="G32" sqref="G32"/>
    </sheetView>
  </sheetViews>
  <sheetFormatPr baseColWidth="10" defaultRowHeight="16"/>
  <cols>
    <col min="1" max="1" width="41.83203125" style="28" bestFit="1" customWidth="1"/>
    <col min="2" max="2" width="11.1640625" bestFit="1" customWidth="1"/>
    <col min="3" max="3" width="12.33203125" customWidth="1"/>
    <col min="4" max="6" width="11.33203125" bestFit="1" customWidth="1"/>
  </cols>
  <sheetData>
    <row r="1" spans="1:11">
      <c r="A1" s="29" t="s">
        <v>176</v>
      </c>
      <c r="C1" s="2" t="s">
        <v>1</v>
      </c>
    </row>
    <row r="2" spans="1:11">
      <c r="A2" s="26" t="s">
        <v>154</v>
      </c>
      <c r="B2" s="13">
        <v>2018</v>
      </c>
      <c r="C2" s="13">
        <f>B2+1</f>
        <v>2019</v>
      </c>
      <c r="D2" s="13">
        <f t="shared" ref="D2:F2" si="0">C2+1</f>
        <v>2020</v>
      </c>
      <c r="E2" s="13">
        <f t="shared" si="0"/>
        <v>2021</v>
      </c>
      <c r="F2" s="13">
        <f t="shared" si="0"/>
        <v>2022</v>
      </c>
      <c r="G2" s="17">
        <f t="shared" ref="G2:K2" si="1">F2+1</f>
        <v>2023</v>
      </c>
      <c r="H2" s="17">
        <f t="shared" si="1"/>
        <v>2024</v>
      </c>
      <c r="I2" s="17">
        <f t="shared" si="1"/>
        <v>2025</v>
      </c>
      <c r="J2" s="17">
        <f t="shared" si="1"/>
        <v>2026</v>
      </c>
      <c r="K2" s="17">
        <f t="shared" si="1"/>
        <v>2027</v>
      </c>
    </row>
    <row r="3" spans="1:11">
      <c r="A3" s="27" t="s">
        <v>177</v>
      </c>
      <c r="B3" s="44">
        <f>'Consolidated Profit &amp; Loss acco'!B6</f>
        <v>123104</v>
      </c>
      <c r="C3" s="44">
        <f>'Consolidated Profit &amp; Loss acco'!C6</f>
        <v>146463</v>
      </c>
      <c r="D3" s="44">
        <f>'Consolidated Profit &amp; Loss acco'!D6</f>
        <v>156949</v>
      </c>
      <c r="E3" s="44">
        <f>'Consolidated Profit &amp; Loss acco'!E6</f>
        <v>164177</v>
      </c>
      <c r="F3" s="44">
        <f>'Consolidated Profit &amp; Loss acco'!F6</f>
        <v>191754</v>
      </c>
      <c r="G3" s="12">
        <f>F3*(1+'Assumption '!$E3)</f>
        <v>211168.84860099794</v>
      </c>
      <c r="H3" s="12">
        <f>G3*(1+'Assumption '!$E3)</f>
        <v>232549.42592838316</v>
      </c>
      <c r="I3" s="12">
        <f>H3*(1+'Assumption '!$E3)</f>
        <v>256094.75951541937</v>
      </c>
      <c r="J3" s="12">
        <f>I3*(1+'Assumption '!$E3)</f>
        <v>282024.02817996271</v>
      </c>
      <c r="K3" s="12">
        <f>J3*(1+'Assumption '!$E3)</f>
        <v>310578.60231639561</v>
      </c>
    </row>
    <row r="4" spans="1:11">
      <c r="A4" s="25" t="s">
        <v>178</v>
      </c>
      <c r="B4" s="44">
        <f>'Consolidated Profit &amp; Loss acco'!B10</f>
        <v>2700</v>
      </c>
      <c r="C4" s="44">
        <f>'Consolidated Profit &amp; Loss acco'!C10</f>
        <v>2270</v>
      </c>
      <c r="D4" s="44">
        <f>'Consolidated Profit &amp; Loss acco'!D10</f>
        <v>1905</v>
      </c>
      <c r="E4" s="44">
        <f>'Consolidated Profit &amp; Loss acco'!E10</f>
        <v>1462</v>
      </c>
      <c r="F4" s="44">
        <f>'Consolidated Profit &amp; Loss acco'!F10</f>
        <v>1163</v>
      </c>
      <c r="G4" s="12">
        <f>F4*(1+'Assumption '!$E4)</f>
        <v>1188.5077008058227</v>
      </c>
      <c r="H4" s="12">
        <f>G4*(1+'Assumption '!$E4)</f>
        <v>1214.5748537186096</v>
      </c>
      <c r="I4" s="12">
        <f>H4*(1+'Assumption '!$E4)</f>
        <v>1241.2137290194953</v>
      </c>
      <c r="J4" s="12">
        <f>I4*(1+'Assumption '!$E4)</f>
        <v>1268.4368661097005</v>
      </c>
      <c r="K4" s="12">
        <f>J4*(1+'Assumption '!$E4)</f>
        <v>1296.2570794130552</v>
      </c>
    </row>
    <row r="5" spans="1:11">
      <c r="A5" s="26" t="s">
        <v>179</v>
      </c>
      <c r="B5" s="45">
        <f>B3-B4</f>
        <v>120404</v>
      </c>
      <c r="C5" s="45">
        <f t="shared" ref="C5:G5" si="2">C3-C4</f>
        <v>144193</v>
      </c>
      <c r="D5" s="45">
        <f t="shared" si="2"/>
        <v>155044</v>
      </c>
      <c r="E5" s="45">
        <f t="shared" si="2"/>
        <v>162715</v>
      </c>
      <c r="F5" s="45">
        <f t="shared" si="2"/>
        <v>190591</v>
      </c>
      <c r="G5" s="17">
        <f t="shared" si="2"/>
        <v>209980.34090019212</v>
      </c>
      <c r="H5" s="17">
        <f t="shared" ref="H5" si="3">H3-H4</f>
        <v>231334.85107466456</v>
      </c>
      <c r="I5" s="17">
        <f t="shared" ref="I5" si="4">I3-I4</f>
        <v>254853.54578639986</v>
      </c>
      <c r="J5" s="17">
        <f t="shared" ref="J5" si="5">J3-J4</f>
        <v>280755.59131385299</v>
      </c>
      <c r="K5" s="17">
        <f t="shared" ref="K5" si="6">K3-K4</f>
        <v>309282.34523698257</v>
      </c>
    </row>
    <row r="6" spans="1:11">
      <c r="A6" s="27" t="s">
        <v>180</v>
      </c>
      <c r="B6" s="32"/>
      <c r="C6" s="32"/>
      <c r="D6" s="32"/>
      <c r="E6" s="32"/>
      <c r="F6" s="32"/>
      <c r="G6" s="12"/>
      <c r="H6" s="12"/>
      <c r="I6" s="12"/>
      <c r="J6" s="12"/>
      <c r="K6" s="12"/>
    </row>
    <row r="7" spans="1:11">
      <c r="A7" s="25" t="s">
        <v>63</v>
      </c>
      <c r="B7" s="44">
        <f>'Consolidated Profit &amp; Loss acco'!B11</f>
        <v>66396</v>
      </c>
      <c r="C7" s="44">
        <f>'Consolidated Profit &amp; Loss acco'!C11</f>
        <v>78246</v>
      </c>
      <c r="D7" s="44">
        <f>'Consolidated Profit &amp; Loss acco'!D11</f>
        <v>85952</v>
      </c>
      <c r="E7" s="44">
        <f>'Consolidated Profit &amp; Loss acco'!E11</f>
        <v>91814</v>
      </c>
      <c r="F7" s="44">
        <f>'Consolidated Profit &amp; Loss acco'!F11</f>
        <v>107554</v>
      </c>
      <c r="G7" s="12">
        <f>F7*(1+'Assumption '!$E5)</f>
        <v>129064.79999999999</v>
      </c>
      <c r="H7" s="12">
        <f>G7*(1+'Assumption '!$E5)</f>
        <v>154877.75999999998</v>
      </c>
      <c r="I7" s="12">
        <f>H7*(1+'Assumption '!$E5)</f>
        <v>185853.31199999998</v>
      </c>
      <c r="J7" s="12">
        <f>I7*(1+'Assumption '!$E5)</f>
        <v>223023.97439999998</v>
      </c>
      <c r="K7" s="12">
        <f>J7*(1+'Assumption '!$E5)</f>
        <v>267628.76927999995</v>
      </c>
    </row>
    <row r="8" spans="1:11">
      <c r="A8" s="25" t="s">
        <v>66</v>
      </c>
      <c r="B8" s="44">
        <f>'Consolidated Profit &amp; Loss acco'!B14</f>
        <v>21492</v>
      </c>
      <c r="C8" s="44">
        <f>'Consolidated Profit &amp; Loss acco'!C14</f>
        <v>26441</v>
      </c>
      <c r="D8" s="44">
        <f>'Consolidated Profit &amp; Loss acco'!D14</f>
        <v>26983</v>
      </c>
      <c r="E8" s="44">
        <f>'Consolidated Profit &amp; Loss acco'!E14</f>
        <v>24355</v>
      </c>
      <c r="F8" s="44">
        <f>'Consolidated Profit &amp; Loss acco'!F14</f>
        <v>29980</v>
      </c>
      <c r="G8" s="12">
        <f>F8*(1+'Assumption '!$E7)</f>
        <v>35214.031063166105</v>
      </c>
      <c r="H8" s="12">
        <f>G8*(1+'Assumption '!$E7)</f>
        <v>41361.840684377159</v>
      </c>
      <c r="I8" s="12">
        <f>H8*(1+'Assumption '!$E7)</f>
        <v>48582.960063021506</v>
      </c>
      <c r="J8" s="12">
        <f>I8*(1+'Assumption '!$E7)</f>
        <v>57064.772007998581</v>
      </c>
      <c r="K8" s="12">
        <f>J8*(1+'Assumption '!$E7)</f>
        <v>67027.373385662228</v>
      </c>
    </row>
    <row r="9" spans="1:11">
      <c r="A9" s="26" t="s">
        <v>248</v>
      </c>
      <c r="B9" s="62">
        <f>B5-B7-B8</f>
        <v>32516</v>
      </c>
      <c r="C9" s="62">
        <f t="shared" ref="C9:K9" si="7">C5-C7-C8</f>
        <v>39506</v>
      </c>
      <c r="D9" s="62">
        <f t="shared" si="7"/>
        <v>42109</v>
      </c>
      <c r="E9" s="62">
        <f t="shared" si="7"/>
        <v>46546</v>
      </c>
      <c r="F9" s="62">
        <f t="shared" si="7"/>
        <v>53057</v>
      </c>
      <c r="G9" s="17">
        <f t="shared" si="7"/>
        <v>45701.509837026031</v>
      </c>
      <c r="H9" s="17">
        <f t="shared" si="7"/>
        <v>35095.250390287423</v>
      </c>
      <c r="I9" s="17">
        <f t="shared" si="7"/>
        <v>20417.273723378377</v>
      </c>
      <c r="J9" s="17">
        <f t="shared" si="7"/>
        <v>666.84490585442836</v>
      </c>
      <c r="K9" s="17">
        <f t="shared" si="7"/>
        <v>-25373.797428679609</v>
      </c>
    </row>
    <row r="10" spans="1:11">
      <c r="A10" s="25" t="s">
        <v>65</v>
      </c>
      <c r="B10" s="44">
        <f>'Consolidated Profit &amp; Loss acco'!B13</f>
        <v>2014</v>
      </c>
      <c r="C10" s="44">
        <f>'Consolidated Profit &amp; Loss acco'!C13</f>
        <v>2056</v>
      </c>
      <c r="D10" s="44">
        <f>'Consolidated Profit &amp; Loss acco'!D13</f>
        <v>3529</v>
      </c>
      <c r="E10" s="44">
        <f>'Consolidated Profit &amp; Loss acco'!E13</f>
        <v>4065</v>
      </c>
      <c r="F10" s="44">
        <f>'Consolidated Profit &amp; Loss acco'!F13</f>
        <v>4604</v>
      </c>
      <c r="G10" s="12">
        <f>F10*(1+'Assumption '!$E6)</f>
        <v>4679.3221341304916</v>
      </c>
      <c r="H10" s="12">
        <f>G10*(1+'Assumption '!$E6)</f>
        <v>4755.876549731438</v>
      </c>
      <c r="I10" s="12">
        <f>H10*(1+'Assumption '!$E6)</f>
        <v>4833.6834071134826</v>
      </c>
      <c r="J10" s="12">
        <f>I10*(1+'Assumption '!$E6)</f>
        <v>4912.7631964129905</v>
      </c>
      <c r="K10" s="12">
        <f>J10*(1+'Assumption '!$E6)</f>
        <v>4993.1367429880474</v>
      </c>
    </row>
    <row r="11" spans="1:11">
      <c r="A11" s="27" t="s">
        <v>258</v>
      </c>
      <c r="B11" s="46">
        <f>B9-B10</f>
        <v>30502</v>
      </c>
      <c r="C11" s="46">
        <f t="shared" ref="C11:K11" si="8">C9-C10</f>
        <v>37450</v>
      </c>
      <c r="D11" s="46">
        <f t="shared" si="8"/>
        <v>38580</v>
      </c>
      <c r="E11" s="46">
        <f t="shared" si="8"/>
        <v>42481</v>
      </c>
      <c r="F11" s="46">
        <f t="shared" si="8"/>
        <v>48453</v>
      </c>
      <c r="G11" s="46">
        <f t="shared" si="8"/>
        <v>41022.187702895542</v>
      </c>
      <c r="H11" s="46">
        <f t="shared" si="8"/>
        <v>30339.373840555985</v>
      </c>
      <c r="I11" s="46">
        <f t="shared" si="8"/>
        <v>15583.590316264894</v>
      </c>
      <c r="J11" s="46">
        <f t="shared" si="8"/>
        <v>-4245.9182905585621</v>
      </c>
      <c r="K11" s="46">
        <f t="shared" si="8"/>
        <v>-30366.934171667657</v>
      </c>
    </row>
    <row r="12" spans="1:11">
      <c r="A12" s="27" t="s">
        <v>181</v>
      </c>
      <c r="B12" s="32"/>
      <c r="C12" s="32"/>
      <c r="D12" s="32"/>
      <c r="E12" s="32"/>
      <c r="F12" s="32"/>
      <c r="G12" s="12"/>
      <c r="H12" s="12"/>
      <c r="I12" s="12"/>
      <c r="J12" s="12"/>
      <c r="K12" s="12"/>
    </row>
    <row r="13" spans="1:11">
      <c r="A13" s="25" t="s">
        <v>182</v>
      </c>
      <c r="B13" s="44">
        <f>'Consolidated Profit &amp; Loss acco'!B22</f>
        <v>8212</v>
      </c>
      <c r="C13" s="44">
        <f>'Consolidated Profit &amp; Loss acco'!C22</f>
        <v>10001</v>
      </c>
      <c r="D13" s="44">
        <f>'Consolidated Profit &amp; Loss acco'!D22</f>
        <v>9801</v>
      </c>
      <c r="E13" s="44">
        <f>'Consolidated Profit &amp; Loss acco'!E22</f>
        <v>11198</v>
      </c>
      <c r="F13" s="44">
        <f>'Consolidated Profit &amp; Loss acco'!F22</f>
        <v>13238</v>
      </c>
      <c r="G13" s="12">
        <f>F13*(1+'Assumption '!$E8)</f>
        <v>16802.043538128648</v>
      </c>
      <c r="H13" s="12">
        <f>G13*(1+'Assumption '!$E8)</f>
        <v>21325.628271428512</v>
      </c>
      <c r="I13" s="12">
        <f>H13*(1+'Assumption '!$E8)</f>
        <v>27067.089794114596</v>
      </c>
      <c r="J13" s="12">
        <f>I13*(1+'Assumption '!$E8)</f>
        <v>34354.314939654854</v>
      </c>
      <c r="K13" s="12">
        <f>J13*(1+'Assumption '!$E8)</f>
        <v>43603.466939013771</v>
      </c>
    </row>
    <row r="14" spans="1:11">
      <c r="A14" s="25" t="s">
        <v>183</v>
      </c>
      <c r="B14" s="44">
        <f>B25*B32</f>
        <v>12.525636512964919</v>
      </c>
      <c r="C14" s="44">
        <f t="shared" ref="C14:F14" si="9">C25*C32</f>
        <v>47.643288501792462</v>
      </c>
      <c r="D14" s="44">
        <f t="shared" si="9"/>
        <v>214.35627722022343</v>
      </c>
      <c r="E14" s="44">
        <f t="shared" si="9"/>
        <v>163.00562157221205</v>
      </c>
      <c r="F14" s="44">
        <f t="shared" si="9"/>
        <v>200.79695087739663</v>
      </c>
      <c r="G14" s="10">
        <f t="shared" ref="G14:K14" si="10">G25*G32</f>
        <v>242.22089552238808</v>
      </c>
      <c r="H14" s="10">
        <f t="shared" si="10"/>
        <v>249.45137001559371</v>
      </c>
      <c r="I14" s="10">
        <f t="shared" si="10"/>
        <v>256.89767956829803</v>
      </c>
      <c r="J14" s="10">
        <f t="shared" si="10"/>
        <v>264.56626701809796</v>
      </c>
      <c r="K14" s="10">
        <f t="shared" si="10"/>
        <v>272.46376752610092</v>
      </c>
    </row>
    <row r="15" spans="1:11">
      <c r="A15" s="25" t="s">
        <v>184</v>
      </c>
      <c r="B15" s="44">
        <f>B24*B32</f>
        <v>877.27631115804297</v>
      </c>
      <c r="C15" s="44">
        <f t="shared" ref="C15:F15" si="11">C24*C32</f>
        <v>1037.3243269253903</v>
      </c>
      <c r="D15" s="44">
        <f t="shared" si="11"/>
        <v>1065.2857413368681</v>
      </c>
      <c r="E15" s="44">
        <f t="shared" si="11"/>
        <v>801.97742230347353</v>
      </c>
      <c r="F15" s="44">
        <f t="shared" si="11"/>
        <v>1029.0843732466576</v>
      </c>
      <c r="G15" s="10">
        <f t="shared" ref="G15:K15" si="12">G24*G32</f>
        <v>1374.1560000000002</v>
      </c>
      <c r="H15" s="10">
        <f t="shared" si="12"/>
        <v>1566.5378400000002</v>
      </c>
      <c r="I15" s="10">
        <f t="shared" si="12"/>
        <v>1785.8531376000003</v>
      </c>
      <c r="J15" s="10">
        <f t="shared" si="12"/>
        <v>2035.8725768640006</v>
      </c>
      <c r="K15" s="10">
        <f t="shared" si="12"/>
        <v>2320.8947376249612</v>
      </c>
    </row>
    <row r="16" spans="1:11">
      <c r="A16" s="33" t="s">
        <v>185</v>
      </c>
      <c r="B16" s="46">
        <f>B13+B14-B15</f>
        <v>7347.2493253549219</v>
      </c>
      <c r="C16" s="46">
        <f t="shared" ref="C16:G16" si="13">C13+C14-C15</f>
        <v>9011.3189615764022</v>
      </c>
      <c r="D16" s="46">
        <f t="shared" si="13"/>
        <v>8950.0705358833566</v>
      </c>
      <c r="E16" s="46">
        <f t="shared" si="13"/>
        <v>10559.02819926874</v>
      </c>
      <c r="F16" s="46">
        <f t="shared" si="13"/>
        <v>12409.712577630738</v>
      </c>
      <c r="G16" s="47">
        <f t="shared" si="13"/>
        <v>15670.108433651034</v>
      </c>
      <c r="H16" s="47">
        <f t="shared" ref="H16" si="14">H13+H14-H15</f>
        <v>20008.541801444106</v>
      </c>
      <c r="I16" s="47">
        <f t="shared" ref="I16" si="15">I13+I14-I15</f>
        <v>25538.134336082894</v>
      </c>
      <c r="J16" s="47">
        <f t="shared" ref="J16" si="16">J13+J14-J15</f>
        <v>32583.008629808952</v>
      </c>
      <c r="K16" s="47">
        <f t="shared" ref="K16" si="17">K13+K14-K15</f>
        <v>41555.035968914912</v>
      </c>
    </row>
    <row r="17" spans="1:11">
      <c r="A17" s="26" t="s">
        <v>259</v>
      </c>
      <c r="B17" s="62">
        <f>B11-B16</f>
        <v>23154.750674645078</v>
      </c>
      <c r="C17" s="62">
        <f t="shared" ref="C17:G17" si="18">C11-C16</f>
        <v>28438.681038423598</v>
      </c>
      <c r="D17" s="62">
        <f t="shared" si="18"/>
        <v>29629.929464116642</v>
      </c>
      <c r="E17" s="62">
        <f t="shared" si="18"/>
        <v>31921.971800731262</v>
      </c>
      <c r="F17" s="62">
        <f t="shared" si="18"/>
        <v>36043.287422369263</v>
      </c>
      <c r="G17" s="17">
        <f t="shared" si="18"/>
        <v>25352.07926924451</v>
      </c>
      <c r="H17" s="17">
        <f t="shared" ref="H17" si="19">H11-H16</f>
        <v>10330.83203911188</v>
      </c>
      <c r="I17" s="17">
        <f t="shared" ref="I17" si="20">I11-I16</f>
        <v>-9954.5440198180004</v>
      </c>
      <c r="J17" s="17">
        <f t="shared" ref="J17" si="21">J11-J16</f>
        <v>-36828.926920367514</v>
      </c>
      <c r="K17" s="17">
        <f t="shared" ref="K17" si="22">K11-K16</f>
        <v>-71921.970140582562</v>
      </c>
    </row>
    <row r="18" spans="1:11">
      <c r="A18" s="27" t="s">
        <v>186</v>
      </c>
      <c r="B18" s="44">
        <v>0</v>
      </c>
      <c r="C18" s="44">
        <v>0</v>
      </c>
      <c r="D18" s="44">
        <v>0</v>
      </c>
      <c r="E18" s="44">
        <v>0</v>
      </c>
      <c r="F18" s="44">
        <v>0</v>
      </c>
      <c r="G18" s="10">
        <v>0</v>
      </c>
      <c r="H18" s="10">
        <v>0</v>
      </c>
      <c r="I18" s="10">
        <v>0</v>
      </c>
      <c r="J18" s="10">
        <v>0</v>
      </c>
      <c r="K18" s="10">
        <v>0</v>
      </c>
    </row>
    <row r="19" spans="1:11">
      <c r="A19" s="48" t="s">
        <v>187</v>
      </c>
      <c r="B19" s="44">
        <f>B18*B32</f>
        <v>0</v>
      </c>
      <c r="C19" s="44">
        <f t="shared" ref="C19:G19" si="23">C18*C32</f>
        <v>0</v>
      </c>
      <c r="D19" s="44">
        <f t="shared" si="23"/>
        <v>0</v>
      </c>
      <c r="E19" s="44">
        <f t="shared" si="23"/>
        <v>0</v>
      </c>
      <c r="F19" s="44">
        <f t="shared" si="23"/>
        <v>0</v>
      </c>
      <c r="G19" s="10">
        <f t="shared" si="23"/>
        <v>0</v>
      </c>
      <c r="H19" s="10">
        <f t="shared" ref="H19" si="24">H18*H32</f>
        <v>0</v>
      </c>
      <c r="I19" s="10">
        <f t="shared" ref="I19" si="25">I18*I32</f>
        <v>0</v>
      </c>
      <c r="J19" s="10">
        <f t="shared" ref="J19" si="26">J18*J32</f>
        <v>0</v>
      </c>
      <c r="K19" s="10">
        <f t="shared" ref="K19" si="27">K18*K32</f>
        <v>0</v>
      </c>
    </row>
    <row r="20" spans="1:11">
      <c r="A20" s="27" t="s">
        <v>188</v>
      </c>
      <c r="B20" s="46">
        <f>B18-B19</f>
        <v>0</v>
      </c>
      <c r="C20" s="46">
        <f t="shared" ref="C20:G20" si="28">C18-C19</f>
        <v>0</v>
      </c>
      <c r="D20" s="46">
        <f t="shared" si="28"/>
        <v>0</v>
      </c>
      <c r="E20" s="46">
        <f t="shared" si="28"/>
        <v>0</v>
      </c>
      <c r="F20" s="46">
        <f t="shared" si="28"/>
        <v>0</v>
      </c>
      <c r="G20" s="47">
        <f t="shared" si="28"/>
        <v>0</v>
      </c>
      <c r="H20" s="47">
        <f t="shared" ref="H20" si="29">H18-H19</f>
        <v>0</v>
      </c>
      <c r="I20" s="47">
        <f t="shared" ref="I20" si="30">I18-I19</f>
        <v>0</v>
      </c>
      <c r="J20" s="47">
        <f t="shared" ref="J20" si="31">J18-J19</f>
        <v>0</v>
      </c>
      <c r="K20" s="47">
        <f t="shared" ref="K20" si="32">K18-K19</f>
        <v>0</v>
      </c>
    </row>
    <row r="21" spans="1:11">
      <c r="A21" s="25" t="s">
        <v>200</v>
      </c>
      <c r="B21" s="44">
        <f>'Consolidated Profit &amp; Loss acco'!B17+'Consolidated Profit &amp; Loss acco'!B26</f>
        <v>-54</v>
      </c>
      <c r="C21" s="44">
        <f>'Consolidated Profit &amp; Loss acco'!C17+'Consolidated Profit &amp; Loss acco'!C26</f>
        <v>-90</v>
      </c>
      <c r="D21" s="44">
        <f>'Consolidated Profit &amp; Loss acco'!D17+'Consolidated Profit &amp; Loss acco'!D26</f>
        <v>-107</v>
      </c>
      <c r="E21" s="44">
        <f>'Consolidated Profit &amp; Loss acco'!E17+'Consolidated Profit &amp; Loss acco'!E26</f>
        <v>-1350</v>
      </c>
      <c r="F21" s="44">
        <f>'Consolidated Profit &amp; Loss acco'!F17+'Consolidated Profit &amp; Loss acco'!F26</f>
        <v>-122</v>
      </c>
      <c r="G21" s="12">
        <f>F21*(1+'Assumption '!$E10)</f>
        <v>-167.12838698511595</v>
      </c>
      <c r="H21" s="12">
        <f>G21*(1+'Assumption '!$E10)</f>
        <v>-228.94998144464486</v>
      </c>
      <c r="I21" s="12">
        <f>H21*(1+'Assumption '!$E10)</f>
        <v>-313.63968114029279</v>
      </c>
      <c r="J21" s="12">
        <f>I21*(1+'Assumption '!$E10)</f>
        <v>-429.65650822543626</v>
      </c>
      <c r="K21" s="12">
        <f>J21*(1+'Assumption '!$E10)</f>
        <v>-588.58851784733088</v>
      </c>
    </row>
    <row r="22" spans="1:11">
      <c r="A22" s="49" t="s">
        <v>189</v>
      </c>
      <c r="B22" s="45">
        <f>B17+B20+B21</f>
        <v>23100.750674645078</v>
      </c>
      <c r="C22" s="45">
        <f t="shared" ref="C22:G22" si="33">C17+C20+C21</f>
        <v>28348.681038423598</v>
      </c>
      <c r="D22" s="45">
        <f t="shared" si="33"/>
        <v>29522.929464116642</v>
      </c>
      <c r="E22" s="45">
        <f t="shared" si="33"/>
        <v>30571.971800731262</v>
      </c>
      <c r="F22" s="45">
        <f t="shared" si="33"/>
        <v>35921.287422369263</v>
      </c>
      <c r="G22" s="17">
        <f t="shared" si="33"/>
        <v>25184.950882259393</v>
      </c>
      <c r="H22" s="17">
        <f t="shared" ref="H22" si="34">H17+H20+H21</f>
        <v>10101.882057667235</v>
      </c>
      <c r="I22" s="17">
        <f t="shared" ref="I22" si="35">I17+I20+I21</f>
        <v>-10268.183700958292</v>
      </c>
      <c r="J22" s="17">
        <f t="shared" ref="J22" si="36">J17+J20+J21</f>
        <v>-37258.583428592952</v>
      </c>
      <c r="K22" s="17">
        <f t="shared" ref="K22" si="37">K17+K20+K21</f>
        <v>-72510.558658429887</v>
      </c>
    </row>
    <row r="23" spans="1:11">
      <c r="A23" s="33" t="s">
        <v>190</v>
      </c>
      <c r="B23" s="44"/>
      <c r="C23" s="44"/>
      <c r="D23" s="44"/>
      <c r="E23" s="44"/>
      <c r="F23" s="44"/>
      <c r="G23" s="12"/>
      <c r="H23" s="12"/>
      <c r="I23" s="12"/>
      <c r="J23" s="12"/>
      <c r="K23" s="12"/>
    </row>
    <row r="24" spans="1:11">
      <c r="A24" s="25" t="s">
        <v>191</v>
      </c>
      <c r="B24" s="44">
        <f>'Consolidated Profit &amp; Loss acco'!B7</f>
        <v>3642</v>
      </c>
      <c r="C24" s="44">
        <f>'Consolidated Profit &amp; Loss acco'!C7</f>
        <v>4311</v>
      </c>
      <c r="D24" s="44">
        <f>'Consolidated Profit &amp; Loss acco'!D7</f>
        <v>4592</v>
      </c>
      <c r="E24" s="44">
        <f>'Consolidated Profit &amp; Loss acco'!E7</f>
        <v>3134</v>
      </c>
      <c r="F24" s="44">
        <f>'Consolidated Profit &amp; Loss acco'!F7</f>
        <v>4018</v>
      </c>
      <c r="G24" s="12">
        <f>F24*(1+'Assumption '!$E11)</f>
        <v>4580.5200000000004</v>
      </c>
      <c r="H24" s="12">
        <f>G24*(1+'Assumption '!$E11)</f>
        <v>5221.7928000000011</v>
      </c>
      <c r="I24" s="12">
        <f>H24*(1+'Assumption '!$E11)</f>
        <v>5952.8437920000015</v>
      </c>
      <c r="J24" s="12">
        <f>I24*(1+'Assumption '!$E11)</f>
        <v>6786.2419228800027</v>
      </c>
      <c r="K24" s="12">
        <f>J24*(1+'Assumption '!$E11)</f>
        <v>7736.3157920832036</v>
      </c>
    </row>
    <row r="25" spans="1:11">
      <c r="A25" s="25" t="s">
        <v>192</v>
      </c>
      <c r="B25" s="44">
        <f>'Consolidated Profit &amp; Loss acco'!B12</f>
        <v>52</v>
      </c>
      <c r="C25" s="44">
        <f>'Consolidated Profit &amp; Loss acco'!C12</f>
        <v>198</v>
      </c>
      <c r="D25" s="44">
        <f>'Consolidated Profit &amp; Loss acco'!D12</f>
        <v>924</v>
      </c>
      <c r="E25" s="44">
        <f>'Consolidated Profit &amp; Loss acco'!E12</f>
        <v>637</v>
      </c>
      <c r="F25" s="44">
        <f>'Consolidated Profit &amp; Loss acco'!F12</f>
        <v>784</v>
      </c>
      <c r="G25" s="12">
        <f>F25*(1+'Assumption '!$E12)</f>
        <v>807.40298507462694</v>
      </c>
      <c r="H25" s="12">
        <f>G25*(1+'Assumption '!$E12)</f>
        <v>831.50456671864572</v>
      </c>
      <c r="I25" s="12">
        <f>H25*(1+'Assumption '!$E12)</f>
        <v>856.3255985609934</v>
      </c>
      <c r="J25" s="12">
        <f>I25*(1+'Assumption '!$E12)</f>
        <v>881.88755672699324</v>
      </c>
      <c r="K25" s="12">
        <f>J25*(1+'Assumption '!$E12)</f>
        <v>908.21255842033645</v>
      </c>
    </row>
    <row r="26" spans="1:11">
      <c r="A26" s="25" t="s">
        <v>193</v>
      </c>
      <c r="B26" s="46">
        <f>B24-B25</f>
        <v>3590</v>
      </c>
      <c r="C26" s="46">
        <f t="shared" ref="C26:G26" si="38">C24-C25</f>
        <v>4113</v>
      </c>
      <c r="D26" s="46">
        <f t="shared" si="38"/>
        <v>3668</v>
      </c>
      <c r="E26" s="46">
        <f t="shared" si="38"/>
        <v>2497</v>
      </c>
      <c r="F26" s="46">
        <f t="shared" si="38"/>
        <v>3234</v>
      </c>
      <c r="G26" s="47">
        <f t="shared" si="38"/>
        <v>3773.1170149253735</v>
      </c>
      <c r="H26" s="47">
        <f t="shared" ref="H26" si="39">H24-H25</f>
        <v>4390.2882332813551</v>
      </c>
      <c r="I26" s="47">
        <f t="shared" ref="I26" si="40">I24-I25</f>
        <v>5096.5181934390084</v>
      </c>
      <c r="J26" s="47">
        <f t="shared" ref="J26" si="41">J24-J25</f>
        <v>5904.3543661530093</v>
      </c>
      <c r="K26" s="47">
        <f t="shared" ref="K26" si="42">K24-K25</f>
        <v>6828.1032336628668</v>
      </c>
    </row>
    <row r="27" spans="1:11">
      <c r="A27" s="25" t="s">
        <v>244</v>
      </c>
      <c r="B27" s="44">
        <f>B26*B32</f>
        <v>864.75067464507799</v>
      </c>
      <c r="C27" s="44">
        <f t="shared" ref="C27:G27" si="43">C26*C32</f>
        <v>989.6810384235979</v>
      </c>
      <c r="D27" s="44">
        <f t="shared" si="43"/>
        <v>850.92946411664457</v>
      </c>
      <c r="E27" s="44">
        <f t="shared" si="43"/>
        <v>638.9718007312614</v>
      </c>
      <c r="F27" s="44">
        <f t="shared" si="43"/>
        <v>828.28742236926109</v>
      </c>
      <c r="G27" s="10">
        <f t="shared" si="43"/>
        <v>1131.935104477612</v>
      </c>
      <c r="H27" s="10">
        <f t="shared" ref="H27" si="44">H26*H32</f>
        <v>1317.0864699844064</v>
      </c>
      <c r="I27" s="10">
        <f t="shared" ref="I27" si="45">I26*I32</f>
        <v>1528.9554580317024</v>
      </c>
      <c r="J27" s="10">
        <f t="shared" ref="J27" si="46">J26*J32</f>
        <v>1771.3063098459027</v>
      </c>
      <c r="K27" s="10">
        <f t="shared" ref="K27" si="47">K26*K32</f>
        <v>2048.4309700988601</v>
      </c>
    </row>
    <row r="28" spans="1:11">
      <c r="A28" s="25" t="s">
        <v>194</v>
      </c>
      <c r="B28" s="46">
        <f>B26-B27</f>
        <v>2725.2493253549219</v>
      </c>
      <c r="C28" s="46">
        <f t="shared" ref="C28:G28" si="48">C26-C27</f>
        <v>3123.3189615764022</v>
      </c>
      <c r="D28" s="46">
        <f t="shared" si="48"/>
        <v>2817.0705358833557</v>
      </c>
      <c r="E28" s="46">
        <f t="shared" si="48"/>
        <v>1858.0281992687387</v>
      </c>
      <c r="F28" s="46">
        <f t="shared" si="48"/>
        <v>2405.7125776307389</v>
      </c>
      <c r="G28" s="47">
        <f t="shared" si="48"/>
        <v>2641.1819104477618</v>
      </c>
      <c r="H28" s="47">
        <f t="shared" ref="H28" si="49">H26-H27</f>
        <v>3073.2017632969487</v>
      </c>
      <c r="I28" s="47">
        <f t="shared" ref="I28" si="50">I26-I27</f>
        <v>3567.5627354073058</v>
      </c>
      <c r="J28" s="47">
        <f t="shared" ref="J28" si="51">J26-J27</f>
        <v>4133.0480563071069</v>
      </c>
      <c r="K28" s="47">
        <f t="shared" ref="K28" si="52">K26-K27</f>
        <v>4779.6722635640072</v>
      </c>
    </row>
    <row r="29" spans="1:11">
      <c r="A29" s="25" t="s">
        <v>195</v>
      </c>
      <c r="B29" s="44">
        <v>0</v>
      </c>
      <c r="C29" s="44">
        <v>0</v>
      </c>
      <c r="D29" s="44">
        <v>0</v>
      </c>
      <c r="E29" s="44">
        <v>0</v>
      </c>
      <c r="F29" s="44">
        <v>0</v>
      </c>
      <c r="G29" s="10">
        <v>0</v>
      </c>
      <c r="H29" s="10">
        <v>0</v>
      </c>
      <c r="I29" s="10">
        <v>0</v>
      </c>
      <c r="J29" s="10">
        <v>0</v>
      </c>
      <c r="K29" s="10">
        <v>0</v>
      </c>
    </row>
    <row r="30" spans="1:11">
      <c r="A30" s="50" t="s">
        <v>196</v>
      </c>
      <c r="B30" s="46">
        <f>B28-B29</f>
        <v>2725.2493253549219</v>
      </c>
      <c r="C30" s="46">
        <f t="shared" ref="C30:G30" si="53">C28-C29</f>
        <v>3123.3189615764022</v>
      </c>
      <c r="D30" s="46">
        <f t="shared" si="53"/>
        <v>2817.0705358833557</v>
      </c>
      <c r="E30" s="46">
        <f t="shared" si="53"/>
        <v>1858.0281992687387</v>
      </c>
      <c r="F30" s="46">
        <f t="shared" si="53"/>
        <v>2405.7125776307389</v>
      </c>
      <c r="G30" s="47">
        <f t="shared" si="53"/>
        <v>2641.1819104477618</v>
      </c>
      <c r="H30" s="47">
        <f t="shared" ref="H30" si="54">H28-H29</f>
        <v>3073.2017632969487</v>
      </c>
      <c r="I30" s="47">
        <f t="shared" ref="I30" si="55">I28-I29</f>
        <v>3567.5627354073058</v>
      </c>
      <c r="J30" s="47">
        <f t="shared" ref="J30" si="56">J28-J29</f>
        <v>4133.0480563071069</v>
      </c>
      <c r="K30" s="47">
        <f t="shared" ref="K30" si="57">K28-K29</f>
        <v>4779.6722635640072</v>
      </c>
    </row>
    <row r="31" spans="1:11">
      <c r="A31" s="49" t="s">
        <v>197</v>
      </c>
      <c r="B31" s="45">
        <f>B22+B30</f>
        <v>25826</v>
      </c>
      <c r="C31" s="45">
        <f t="shared" ref="C31:D31" si="58">C22+C30</f>
        <v>31472</v>
      </c>
      <c r="D31" s="45">
        <f t="shared" si="58"/>
        <v>32339.999999999996</v>
      </c>
      <c r="E31" s="45">
        <f t="shared" ref="E31" si="59">E22+E30</f>
        <v>32430</v>
      </c>
      <c r="F31" s="45">
        <f t="shared" ref="F31:G31" si="60">F22+F30</f>
        <v>38327</v>
      </c>
      <c r="G31" s="17">
        <f t="shared" si="60"/>
        <v>27826.132792707154</v>
      </c>
      <c r="H31" s="17">
        <f t="shared" ref="H31" si="61">H22+H30</f>
        <v>13175.083820964184</v>
      </c>
      <c r="I31" s="17">
        <f t="shared" ref="I31" si="62">I22+I30</f>
        <v>-6700.6209655509865</v>
      </c>
      <c r="J31" s="17">
        <f t="shared" ref="J31" si="63">J22+J30</f>
        <v>-33125.535372285842</v>
      </c>
      <c r="K31" s="17">
        <f t="shared" ref="K31" si="64">K22+K30</f>
        <v>-67730.886394865884</v>
      </c>
    </row>
    <row r="32" spans="1:11">
      <c r="A32" s="25" t="s">
        <v>198</v>
      </c>
      <c r="B32" s="51">
        <f>'Consolidated Profit &amp; Loss acco'!B37</f>
        <v>0.24087762524932535</v>
      </c>
      <c r="C32" s="51">
        <f>'Consolidated Profit &amp; Loss acco'!C37</f>
        <v>0.24062266920097203</v>
      </c>
      <c r="D32" s="51">
        <f>'Consolidated Profit &amp; Loss acco'!D37</f>
        <v>0.23198731300889983</v>
      </c>
      <c r="E32" s="51">
        <f>'Consolidated Profit &amp; Loss acco'!E37</f>
        <v>0.25589579524680073</v>
      </c>
      <c r="F32" s="51">
        <f>'Consolidated Profit &amp; Loss acco'!F37</f>
        <v>0.25611855979259773</v>
      </c>
      <c r="G32" s="7">
        <f>'Assumption '!$E$14</f>
        <v>0.3</v>
      </c>
      <c r="H32" s="7">
        <f>'Assumption '!$E$14</f>
        <v>0.3</v>
      </c>
      <c r="I32" s="7">
        <f>'Assumption '!$E$14</f>
        <v>0.3</v>
      </c>
      <c r="J32" s="7">
        <f>'Assumption '!$E$14</f>
        <v>0.3</v>
      </c>
      <c r="K32" s="7">
        <f>'Assumption '!$E$14</f>
        <v>0.3</v>
      </c>
    </row>
    <row r="34" spans="1:11">
      <c r="A34" s="28" t="s">
        <v>199</v>
      </c>
      <c r="B34" s="32">
        <f>B31-'Consolidated Profit &amp; Loss acco'!B27</f>
        <v>0</v>
      </c>
      <c r="C34" s="32">
        <f>C31-'Consolidated Profit &amp; Loss acco'!C27</f>
        <v>0</v>
      </c>
      <c r="D34" s="32">
        <f>D31-'Consolidated Profit &amp; Loss acco'!D27</f>
        <v>0</v>
      </c>
      <c r="E34" s="32">
        <f>E31-'Consolidated Profit &amp; Loss acco'!E27</f>
        <v>0</v>
      </c>
      <c r="F34" s="32">
        <f>F31-'Consolidated Profit &amp; Loss acco'!F27</f>
        <v>0</v>
      </c>
      <c r="G34" s="32"/>
      <c r="H34" s="32"/>
      <c r="I34" s="32"/>
      <c r="J34" s="32"/>
      <c r="K34" s="32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0EE4CA-F24D-EB4A-B822-83D20BC3414D}">
  <dimension ref="A1:L36"/>
  <sheetViews>
    <sheetView topLeftCell="A8" zoomScale="115" workbookViewId="0">
      <selection activeCell="E36" sqref="E36"/>
    </sheetView>
  </sheetViews>
  <sheetFormatPr baseColWidth="10" defaultRowHeight="16"/>
  <cols>
    <col min="1" max="1" width="43.83203125" style="28" bestFit="1" customWidth="1"/>
    <col min="3" max="3" width="11.33203125" bestFit="1" customWidth="1"/>
    <col min="9" max="11" width="12.83203125" bestFit="1" customWidth="1"/>
  </cols>
  <sheetData>
    <row r="1" spans="1:12">
      <c r="A1" s="29" t="s">
        <v>209</v>
      </c>
      <c r="C1" s="2" t="s">
        <v>1</v>
      </c>
    </row>
    <row r="2" spans="1:12">
      <c r="B2" s="30">
        <v>2018</v>
      </c>
      <c r="C2" s="30">
        <f>B2+1</f>
        <v>2019</v>
      </c>
      <c r="D2" s="30">
        <f t="shared" ref="D2:K2" si="0">C2+1</f>
        <v>2020</v>
      </c>
      <c r="E2" s="30">
        <f t="shared" si="0"/>
        <v>2021</v>
      </c>
      <c r="F2" s="30">
        <f t="shared" si="0"/>
        <v>2022</v>
      </c>
      <c r="G2" s="31">
        <f t="shared" si="0"/>
        <v>2023</v>
      </c>
      <c r="H2" s="31">
        <f t="shared" si="0"/>
        <v>2024</v>
      </c>
      <c r="I2" s="31">
        <f t="shared" si="0"/>
        <v>2025</v>
      </c>
      <c r="J2" s="31">
        <f t="shared" si="0"/>
        <v>2026</v>
      </c>
      <c r="K2" s="31">
        <f t="shared" si="0"/>
        <v>2027</v>
      </c>
      <c r="L2" s="32"/>
    </row>
    <row r="3" spans="1:12">
      <c r="A3" s="34" t="s">
        <v>202</v>
      </c>
      <c r="B3" s="32"/>
      <c r="C3" s="32"/>
      <c r="D3" s="32"/>
      <c r="E3" s="32"/>
      <c r="F3" s="32"/>
      <c r="G3" s="32"/>
      <c r="H3" s="32"/>
      <c r="I3" s="32"/>
      <c r="J3" s="32"/>
      <c r="K3" s="32"/>
      <c r="L3" s="32"/>
    </row>
    <row r="4" spans="1:12">
      <c r="A4" s="34" t="s">
        <v>206</v>
      </c>
      <c r="B4" s="35"/>
      <c r="C4" s="36">
        <f>'Reformulated Income'!C11</f>
        <v>37450</v>
      </c>
      <c r="D4" s="36">
        <f>'Reformulated Income'!D11</f>
        <v>38580</v>
      </c>
      <c r="E4" s="36">
        <f>'Reformulated Income'!E11</f>
        <v>42481</v>
      </c>
      <c r="F4" s="36">
        <f>'Reformulated Income'!F11</f>
        <v>48453</v>
      </c>
      <c r="G4" s="36">
        <f>'Reformulated Income'!G11</f>
        <v>41022.187702895542</v>
      </c>
      <c r="H4" s="36">
        <f>'Reformulated Income'!H11</f>
        <v>30339.373840555985</v>
      </c>
      <c r="I4" s="36">
        <f>'Reformulated Income'!I11</f>
        <v>15583.590316264894</v>
      </c>
      <c r="J4" s="36">
        <f>'Reformulated Income'!J11</f>
        <v>-4245.9182905585621</v>
      </c>
      <c r="K4" s="36">
        <f>'Reformulated Income'!K11</f>
        <v>-30366.934171667657</v>
      </c>
      <c r="L4" s="32"/>
    </row>
    <row r="5" spans="1:12">
      <c r="A5" s="25" t="s">
        <v>207</v>
      </c>
      <c r="B5" s="35"/>
      <c r="C5" s="36">
        <f>'Reformulated Income'!C10</f>
        <v>2056</v>
      </c>
      <c r="D5" s="36">
        <f>'Reformulated Income'!D10</f>
        <v>3529</v>
      </c>
      <c r="E5" s="36">
        <f>'Reformulated Income'!E10</f>
        <v>4065</v>
      </c>
      <c r="F5" s="36">
        <f>'Reformulated Income'!F10</f>
        <v>4604</v>
      </c>
      <c r="G5" s="36">
        <f>'Reformulated Income'!G10</f>
        <v>4679.3221341304916</v>
      </c>
      <c r="H5" s="36">
        <f>'Reformulated Income'!H10</f>
        <v>4755.876549731438</v>
      </c>
      <c r="I5" s="36">
        <f>'Reformulated Income'!I10</f>
        <v>4833.6834071134826</v>
      </c>
      <c r="J5" s="36">
        <f>'Reformulated Income'!J10</f>
        <v>4912.7631964129905</v>
      </c>
      <c r="K5" s="36">
        <f>'Reformulated Income'!K10</f>
        <v>4993.1367429880474</v>
      </c>
      <c r="L5" s="32"/>
    </row>
    <row r="6" spans="1:12">
      <c r="A6" s="33" t="s">
        <v>208</v>
      </c>
      <c r="B6" s="35"/>
      <c r="C6" s="36"/>
      <c r="D6" s="36"/>
      <c r="E6" s="36"/>
      <c r="F6" s="36"/>
      <c r="G6" s="36"/>
      <c r="H6" s="36"/>
      <c r="I6" s="36"/>
      <c r="J6" s="36"/>
      <c r="K6" s="36"/>
      <c r="L6" s="32"/>
    </row>
    <row r="7" spans="1:12">
      <c r="A7" s="1" t="s">
        <v>18</v>
      </c>
      <c r="B7" s="35"/>
      <c r="C7" s="36">
        <f>'Reformulated Balance Sheet'!C17-'Reformulated Balance Sheet'!B17</f>
        <v>1198</v>
      </c>
      <c r="D7" s="36">
        <f>'Reformulated Balance Sheet'!D17-'Reformulated Balance Sheet'!C17</f>
        <v>448</v>
      </c>
      <c r="E7" s="36">
        <f>'Reformulated Balance Sheet'!E17-'Reformulated Balance Sheet'!D17</f>
        <v>1120</v>
      </c>
      <c r="F7" s="36">
        <f>'Reformulated Balance Sheet'!F17-'Reformulated Balance Sheet'!E17</f>
        <v>185</v>
      </c>
      <c r="G7" s="36">
        <f>'Reformulated Balance Sheet'!G17-'Reformulated Balance Sheet'!F17</f>
        <v>349.33504776971313</v>
      </c>
      <c r="H7" s="36">
        <f>'Reformulated Balance Sheet'!H17-'Reformulated Balance Sheet'!G17</f>
        <v>364.5040938356251</v>
      </c>
      <c r="I7" s="36">
        <f>'Reformulated Balance Sheet'!I17-'Reformulated Balance Sheet'!H17</f>
        <v>380.33181975636217</v>
      </c>
      <c r="J7" s="36">
        <f>'Reformulated Balance Sheet'!J17-'Reformulated Balance Sheet'!I17</f>
        <v>396.84682714268092</v>
      </c>
      <c r="K7" s="36">
        <f>'Reformulated Balance Sheet'!K17-'Reformulated Balance Sheet'!J17</f>
        <v>414.07895956246284</v>
      </c>
      <c r="L7" s="32"/>
    </row>
    <row r="8" spans="1:12">
      <c r="A8" s="1" t="s">
        <v>19</v>
      </c>
      <c r="B8" s="35"/>
      <c r="C8" s="36">
        <f>'Reformulated Balance Sheet'!C18-'Reformulated Balance Sheet'!B18</f>
        <v>3240</v>
      </c>
      <c r="D8" s="36">
        <f>'Reformulated Balance Sheet'!D18-'Reformulated Balance Sheet'!C18</f>
        <v>4474</v>
      </c>
      <c r="E8" s="36">
        <f>'Reformulated Balance Sheet'!E18-'Reformulated Balance Sheet'!D18</f>
        <v>4874</v>
      </c>
      <c r="F8" s="36">
        <f>'Reformulated Balance Sheet'!F18-'Reformulated Balance Sheet'!E18</f>
        <v>7994</v>
      </c>
      <c r="G8" s="36">
        <f>'Reformulated Balance Sheet'!G18-'Reformulated Balance Sheet'!F18</f>
        <v>4322.6221756498708</v>
      </c>
      <c r="H8" s="36">
        <f>'Reformulated Balance Sheet'!H18-'Reformulated Balance Sheet'!G18</f>
        <v>4890.6435306709973</v>
      </c>
      <c r="I8" s="36">
        <f>'Reformulated Balance Sheet'!I18-'Reformulated Balance Sheet'!H18</f>
        <v>5533.3066764036921</v>
      </c>
      <c r="J8" s="36">
        <f>'Reformulated Balance Sheet'!J18-'Reformulated Balance Sheet'!I18</f>
        <v>6260.4200414772349</v>
      </c>
      <c r="K8" s="36">
        <f>'Reformulated Balance Sheet'!K18-'Reformulated Balance Sheet'!J18</f>
        <v>7083.0809473952249</v>
      </c>
      <c r="L8" s="32"/>
    </row>
    <row r="9" spans="1:12">
      <c r="A9" s="1" t="s">
        <v>36</v>
      </c>
      <c r="B9" s="35"/>
      <c r="C9" s="36">
        <f>'Reformulated Balance Sheet'!B5-'Reformulated Balance Sheet'!C5</f>
        <v>61</v>
      </c>
      <c r="D9" s="36">
        <f>'Reformulated Balance Sheet'!C5-'Reformulated Balance Sheet'!D5</f>
        <v>-5</v>
      </c>
      <c r="E9" s="36">
        <f>'Reformulated Balance Sheet'!D5-'Reformulated Balance Sheet'!E5</f>
        <v>-91</v>
      </c>
      <c r="F9" s="36">
        <f>'Reformulated Balance Sheet'!E5-'Reformulated Balance Sheet'!F5</f>
        <v>-1</v>
      </c>
      <c r="G9" s="36">
        <f>'Reformulated Balance Sheet'!F5-'Reformulated Balance Sheet'!G5</f>
        <v>-20.748872152101058</v>
      </c>
      <c r="H9" s="36">
        <f>'Reformulated Balance Sheet'!G5-'Reformulated Balance Sheet'!H5</f>
        <v>-20.987121015180264</v>
      </c>
      <c r="I9" s="36">
        <f>'Reformulated Balance Sheet'!H5-'Reformulated Balance Sheet'!I5</f>
        <v>-21.228105570124626</v>
      </c>
      <c r="J9" s="36">
        <f>'Reformulated Balance Sheet'!I5-'Reformulated Balance Sheet'!J5</f>
        <v>-21.471857229508032</v>
      </c>
      <c r="K9" s="36">
        <f>'Reformulated Balance Sheet'!J5-'Reformulated Balance Sheet'!K5</f>
        <v>-21.718407766599057</v>
      </c>
      <c r="L9" s="32"/>
    </row>
    <row r="10" spans="1:12">
      <c r="A10" s="1" t="s">
        <v>37</v>
      </c>
      <c r="B10" s="35"/>
      <c r="C10" s="36">
        <f>'Reformulated Balance Sheet'!B6-'Reformulated Balance Sheet'!C6</f>
        <v>-2403</v>
      </c>
      <c r="D10" s="36">
        <f>'Reformulated Balance Sheet'!C6-'Reformulated Balance Sheet'!D6</f>
        <v>-3186</v>
      </c>
      <c r="E10" s="36">
        <f>'Reformulated Balance Sheet'!D6-'Reformulated Balance Sheet'!E6</f>
        <v>453</v>
      </c>
      <c r="F10" s="36">
        <f>'Reformulated Balance Sheet'!E6-'Reformulated Balance Sheet'!F6</f>
        <v>-3995</v>
      </c>
      <c r="G10" s="36">
        <f>'Reformulated Balance Sheet'!F6-'Reformulated Balance Sheet'!G6</f>
        <v>-6438.407197022716</v>
      </c>
      <c r="H10" s="36">
        <f>'Reformulated Balance Sheet'!G6-'Reformulated Balance Sheet'!H6</f>
        <v>-7654.9678366504013</v>
      </c>
      <c r="I10" s="36">
        <f>'Reformulated Balance Sheet'!H6-'Reformulated Balance Sheet'!I6</f>
        <v>-9101.4020683950584</v>
      </c>
      <c r="J10" s="36">
        <f>'Reformulated Balance Sheet'!I6-'Reformulated Balance Sheet'!J6</f>
        <v>-10821.145350080573</v>
      </c>
      <c r="K10" s="36">
        <f>'Reformulated Balance Sheet'!J6-'Reformulated Balance Sheet'!K6</f>
        <v>-12865.840428497773</v>
      </c>
      <c r="L10" s="32"/>
    </row>
    <row r="11" spans="1:12">
      <c r="A11" s="1" t="s">
        <v>40</v>
      </c>
      <c r="B11" s="35"/>
      <c r="C11" s="36">
        <f>'Reformulated Balance Sheet'!B9-'Reformulated Balance Sheet'!C9</f>
        <v>-4625</v>
      </c>
      <c r="D11" s="36">
        <f>'Reformulated Balance Sheet'!C9-'Reformulated Balance Sheet'!D9</f>
        <v>-612</v>
      </c>
      <c r="E11" s="36">
        <f>'Reformulated Balance Sheet'!D9-'Reformulated Balance Sheet'!E9</f>
        <v>-3813</v>
      </c>
      <c r="F11" s="36">
        <f>'Reformulated Balance Sheet'!E9-'Reformulated Balance Sheet'!F9</f>
        <v>-56</v>
      </c>
      <c r="G11" s="36">
        <f>'Reformulated Balance Sheet'!F9-'Reformulated Balance Sheet'!G9</f>
        <v>-1927.9472355410799</v>
      </c>
      <c r="H11" s="36">
        <f>'Reformulated Balance Sheet'!G9-'Reformulated Balance Sheet'!H9</f>
        <v>-2120.6567203518716</v>
      </c>
      <c r="I11" s="36">
        <f>'Reformulated Balance Sheet'!H9-'Reformulated Balance Sheet'!I9</f>
        <v>-2332.6286335379955</v>
      </c>
      <c r="J11" s="36">
        <f>'Reformulated Balance Sheet'!I9-'Reformulated Balance Sheet'!J9</f>
        <v>-2565.7883663031134</v>
      </c>
      <c r="K11" s="36">
        <f>'Reformulated Balance Sheet'!J9-'Reformulated Balance Sheet'!K9</f>
        <v>-2822.2537638454996</v>
      </c>
      <c r="L11" s="32"/>
    </row>
    <row r="12" spans="1:12" s="1" customFormat="1">
      <c r="A12" s="1" t="s">
        <v>32</v>
      </c>
      <c r="B12" s="37"/>
      <c r="C12" s="38">
        <f>'Reformulated Balance Sheet'!B26-'Reformulated Balance Sheet'!C26</f>
        <v>-508</v>
      </c>
      <c r="D12" s="38">
        <f>'Reformulated Balance Sheet'!C26-'Reformulated Balance Sheet'!D26</f>
        <v>849</v>
      </c>
      <c r="E12" s="38">
        <f>'Reformulated Balance Sheet'!D26-'Reformulated Balance Sheet'!E26</f>
        <v>396</v>
      </c>
      <c r="F12" s="38">
        <f>'Reformulated Balance Sheet'!E26-'Reformulated Balance Sheet'!F26</f>
        <v>-1100</v>
      </c>
      <c r="G12" s="38">
        <f>'Reformulated Balance Sheet'!F26-'Reformulated Balance Sheet'!G26</f>
        <v>-255.26269861900528</v>
      </c>
      <c r="H12" s="38">
        <f>'Reformulated Balance Sheet'!G26-'Reformulated Balance Sheet'!H26</f>
        <v>-265.35079976566249</v>
      </c>
      <c r="I12" s="38">
        <f>'Reformulated Balance Sheet'!H26-'Reformulated Balance Sheet'!I26</f>
        <v>-275.83758738431789</v>
      </c>
      <c r="J12" s="38">
        <f>'Reformulated Balance Sheet'!I26-'Reformulated Balance Sheet'!J26</f>
        <v>-286.73881775067093</v>
      </c>
      <c r="K12" s="38">
        <f>'Reformulated Balance Sheet'!J26-'Reformulated Balance Sheet'!K26</f>
        <v>-298.07086983580211</v>
      </c>
      <c r="L12" s="37"/>
    </row>
    <row r="13" spans="1:12" s="1" customFormat="1">
      <c r="A13" s="2" t="s">
        <v>210</v>
      </c>
      <c r="B13" s="37"/>
      <c r="C13" s="39">
        <f>SUM(C7:C12)</f>
        <v>-3037</v>
      </c>
      <c r="D13" s="39">
        <f t="shared" ref="D13:E13" si="1">SUM(D7:D12)</f>
        <v>1968</v>
      </c>
      <c r="E13" s="39">
        <f t="shared" si="1"/>
        <v>2939</v>
      </c>
      <c r="F13" s="39">
        <f>SUM(F7:F12)</f>
        <v>3027</v>
      </c>
      <c r="G13" s="39">
        <f>SUM(G7:G12)</f>
        <v>-3970.4087799153185</v>
      </c>
      <c r="H13" s="39">
        <f t="shared" ref="H13:K13" si="2">SUM(H7:H12)</f>
        <v>-4806.8148532764935</v>
      </c>
      <c r="I13" s="39">
        <f t="shared" si="2"/>
        <v>-5817.4578987274417</v>
      </c>
      <c r="J13" s="39">
        <f t="shared" si="2"/>
        <v>-7037.8775227439492</v>
      </c>
      <c r="K13" s="39">
        <f t="shared" si="2"/>
        <v>-8510.723562987987</v>
      </c>
      <c r="L13" s="37"/>
    </row>
    <row r="14" spans="1:12" s="1" customFormat="1">
      <c r="B14" s="37"/>
      <c r="C14" s="37"/>
      <c r="D14" s="37"/>
      <c r="E14" s="37"/>
      <c r="F14" s="37"/>
      <c r="G14" s="37"/>
      <c r="H14" s="37"/>
      <c r="I14" s="37"/>
      <c r="J14" s="37"/>
      <c r="K14" s="37"/>
      <c r="L14" s="37"/>
    </row>
    <row r="15" spans="1:12" s="1" customFormat="1">
      <c r="A15" s="1" t="s">
        <v>219</v>
      </c>
      <c r="B15" s="37"/>
      <c r="C15" s="37">
        <v>46637</v>
      </c>
      <c r="D15" s="37">
        <v>53802</v>
      </c>
      <c r="E15" s="37">
        <v>37986</v>
      </c>
      <c r="F15" s="37">
        <v>53666.54916502304</v>
      </c>
      <c r="G15" s="37">
        <v>51422.618950460106</v>
      </c>
      <c r="H15" s="37">
        <v>60601.649084134115</v>
      </c>
      <c r="I15" s="37">
        <v>71341.549568272399</v>
      </c>
      <c r="J15" s="37">
        <v>83898.353212929112</v>
      </c>
      <c r="K15" s="37"/>
      <c r="L15" s="37"/>
    </row>
    <row r="16" spans="1:12" s="1" customFormat="1">
      <c r="A16" s="40" t="s">
        <v>211</v>
      </c>
      <c r="B16" s="30"/>
      <c r="C16" s="30">
        <f>C4+C5+C13-C15</f>
        <v>-10168</v>
      </c>
      <c r="D16" s="30">
        <f t="shared" ref="D16:F16" si="3">D4+D5+D13-D15</f>
        <v>-9725</v>
      </c>
      <c r="E16" s="30">
        <f t="shared" si="3"/>
        <v>11499</v>
      </c>
      <c r="F16" s="30">
        <f t="shared" si="3"/>
        <v>2417.4508349769603</v>
      </c>
      <c r="G16" s="31">
        <f>G4+G5+G13-G15</f>
        <v>-9691.5178933493953</v>
      </c>
      <c r="H16" s="31">
        <f t="shared" ref="H16:K16" si="4">H4+H5+H13-H15</f>
        <v>-30313.213547123185</v>
      </c>
      <c r="I16" s="31">
        <f t="shared" si="4"/>
        <v>-56741.733743621466</v>
      </c>
      <c r="J16" s="31">
        <f t="shared" si="4"/>
        <v>-90269.385829818639</v>
      </c>
      <c r="K16" s="31">
        <f t="shared" si="4"/>
        <v>-33884.520991667596</v>
      </c>
      <c r="L16" s="37"/>
    </row>
    <row r="17" spans="1:12" s="1" customFormat="1">
      <c r="B17" s="37"/>
      <c r="C17" s="37"/>
      <c r="D17" s="37"/>
      <c r="E17" s="37"/>
      <c r="F17" s="37"/>
      <c r="G17" s="37"/>
      <c r="H17" s="37"/>
      <c r="I17" s="37"/>
      <c r="J17" s="37"/>
      <c r="K17" s="37"/>
      <c r="L17" s="37"/>
    </row>
    <row r="18" spans="1:12" s="1" customFormat="1">
      <c r="A18" s="34" t="s">
        <v>212</v>
      </c>
      <c r="B18" s="37"/>
      <c r="C18" s="37"/>
      <c r="D18" s="37"/>
      <c r="E18" s="37"/>
      <c r="F18" s="37"/>
      <c r="G18" s="37"/>
      <c r="H18" s="37"/>
      <c r="I18" s="37"/>
      <c r="J18" s="37"/>
      <c r="K18" s="37"/>
      <c r="L18" s="37"/>
    </row>
    <row r="19" spans="1:12" s="1" customFormat="1">
      <c r="A19" s="1" t="s">
        <v>213</v>
      </c>
      <c r="B19" s="37"/>
      <c r="C19" s="38">
        <v>0</v>
      </c>
      <c r="D19" s="38">
        <v>0</v>
      </c>
      <c r="E19" s="38">
        <v>0</v>
      </c>
      <c r="F19" s="38">
        <v>0</v>
      </c>
      <c r="G19" s="38">
        <v>0</v>
      </c>
      <c r="H19" s="38">
        <v>0</v>
      </c>
      <c r="I19" s="38">
        <v>0</v>
      </c>
      <c r="J19" s="38">
        <v>0</v>
      </c>
      <c r="K19" s="38">
        <v>0</v>
      </c>
      <c r="L19" s="37"/>
    </row>
    <row r="20" spans="1:12" s="1" customFormat="1">
      <c r="A20" s="1" t="s">
        <v>214</v>
      </c>
      <c r="B20" s="37"/>
      <c r="C20" s="38">
        <f>'Reformulated Balance Sheet'!B27-'Reformulated Balance Sheet'!C27</f>
        <v>6616</v>
      </c>
      <c r="D20" s="38">
        <f>'Reformulated Balance Sheet'!C27-'Reformulated Balance Sheet'!D27</f>
        <v>2951</v>
      </c>
      <c r="E20" s="38">
        <f>'Reformulated Balance Sheet'!D27-'Reformulated Balance Sheet'!E27</f>
        <v>-3020</v>
      </c>
      <c r="F20" s="38">
        <f>'Reformulated Balance Sheet'!E27-'Reformulated Balance Sheet'!F27</f>
        <v>-1102</v>
      </c>
      <c r="G20" s="38">
        <f>'Reformulated Balance Sheet'!F27-'Reformulated Balance Sheet'!G27</f>
        <v>-5995.8705573525003</v>
      </c>
      <c r="H20" s="38">
        <f>'Reformulated Balance Sheet'!G27-'Reformulated Balance Sheet'!H27</f>
        <v>-7183.8443773421459</v>
      </c>
      <c r="I20" s="38">
        <f>'Reformulated Balance Sheet'!H27-'Reformulated Balance Sheet'!I27</f>
        <v>-8607.1938251878964</v>
      </c>
      <c r="J20" s="38">
        <f>'Reformulated Balance Sheet'!I27-'Reformulated Balance Sheet'!J27</f>
        <v>-10312.55434458088</v>
      </c>
      <c r="K20" s="38">
        <f>'Reformulated Balance Sheet'!J27-'Reformulated Balance Sheet'!K27</f>
        <v>-12355.801352900562</v>
      </c>
      <c r="L20" s="37"/>
    </row>
    <row r="21" spans="1:12" s="1" customFormat="1">
      <c r="A21" s="40" t="s">
        <v>215</v>
      </c>
      <c r="B21" s="30"/>
      <c r="C21" s="30">
        <f>SUM(C19:C20)</f>
        <v>6616</v>
      </c>
      <c r="D21" s="30">
        <f t="shared" ref="D21:F21" si="5">SUM(D19:D20)</f>
        <v>2951</v>
      </c>
      <c r="E21" s="30">
        <f t="shared" si="5"/>
        <v>-3020</v>
      </c>
      <c r="F21" s="30">
        <f t="shared" si="5"/>
        <v>-1102</v>
      </c>
      <c r="G21" s="31">
        <f t="shared" ref="G21:K21" si="6">SUM(G19:G20)</f>
        <v>-5995.8705573525003</v>
      </c>
      <c r="H21" s="31">
        <f t="shared" si="6"/>
        <v>-7183.8443773421459</v>
      </c>
      <c r="I21" s="31">
        <f t="shared" si="6"/>
        <v>-8607.1938251878964</v>
      </c>
      <c r="J21" s="31">
        <f t="shared" si="6"/>
        <v>-10312.55434458088</v>
      </c>
      <c r="K21" s="31">
        <f t="shared" si="6"/>
        <v>-12355.801352900562</v>
      </c>
      <c r="L21" s="37"/>
    </row>
    <row r="22" spans="1:12" s="1" customFormat="1">
      <c r="B22" s="37"/>
      <c r="C22" s="37"/>
      <c r="D22" s="37"/>
      <c r="E22" s="37"/>
      <c r="F22" s="37"/>
      <c r="G22" s="37"/>
      <c r="H22" s="37"/>
      <c r="I22" s="37"/>
      <c r="J22" s="37"/>
      <c r="K22" s="37"/>
      <c r="L22" s="37"/>
    </row>
    <row r="23" spans="1:12" s="1" customFormat="1">
      <c r="A23" s="34" t="s">
        <v>216</v>
      </c>
      <c r="B23" s="37"/>
      <c r="C23" s="37"/>
      <c r="D23" s="37"/>
      <c r="E23" s="37"/>
      <c r="F23" s="37"/>
      <c r="G23" s="37"/>
      <c r="H23" s="37"/>
      <c r="I23" s="37"/>
      <c r="J23" s="37"/>
      <c r="K23" s="37"/>
      <c r="L23" s="37"/>
    </row>
    <row r="24" spans="1:12" s="1" customFormat="1">
      <c r="A24" s="1" t="s">
        <v>217</v>
      </c>
      <c r="B24" s="37"/>
      <c r="C24" s="38">
        <f>'Reformulated Balance Sheet'!C15-'Reformulated Balance Sheet'!B15</f>
        <v>186</v>
      </c>
      <c r="D24" s="38">
        <f>'Reformulated Balance Sheet'!D15-'Reformulated Balance Sheet'!C15</f>
        <v>6437</v>
      </c>
      <c r="E24" s="38">
        <f>'Reformulated Balance Sheet'!E15-'Reformulated Balance Sheet'!D15</f>
        <v>418</v>
      </c>
      <c r="F24" s="38">
        <f>'Reformulated Balance Sheet'!F15-'Reformulated Balance Sheet'!E15</f>
        <v>-2</v>
      </c>
      <c r="G24" s="38">
        <f>'Reformulated Balance Sheet'!G15-'Reformulated Balance Sheet'!F15</f>
        <v>119.66447881466229</v>
      </c>
      <c r="H24" s="38">
        <f>'Reformulated Balance Sheet'!H15-'Reformulated Balance Sheet'!G15</f>
        <v>121.30531615738983</v>
      </c>
      <c r="I24" s="38">
        <f>'Reformulated Balance Sheet'!I15-'Reformulated Balance Sheet'!H15</f>
        <v>122.96865263446307</v>
      </c>
      <c r="J24" s="38">
        <f>'Reformulated Balance Sheet'!J15-'Reformulated Balance Sheet'!I15</f>
        <v>124.65479675363895</v>
      </c>
      <c r="K24" s="38">
        <f>'Reformulated Balance Sheet'!K15-'Reformulated Balance Sheet'!J15</f>
        <v>126.36406125292524</v>
      </c>
      <c r="L24" s="37"/>
    </row>
    <row r="25" spans="1:12" s="1" customFormat="1">
      <c r="A25" s="1" t="s">
        <v>218</v>
      </c>
      <c r="B25" s="37"/>
      <c r="C25" s="38">
        <f>'Reformulated Balance Sheet'!C37-'Reformulated Balance Sheet'!B37</f>
        <v>184</v>
      </c>
      <c r="D25" s="38">
        <f>'Reformulated Balance Sheet'!D37-'Reformulated Balance Sheet'!C37</f>
        <v>0</v>
      </c>
      <c r="E25" s="38">
        <f>'Reformulated Balance Sheet'!E37-'Reformulated Balance Sheet'!D37</f>
        <v>-5</v>
      </c>
      <c r="F25" s="38">
        <f>'Reformulated Balance Sheet'!F37-'Reformulated Balance Sheet'!E37</f>
        <v>-4</v>
      </c>
      <c r="G25" s="38">
        <f>'Reformulated Balance Sheet'!G37-'Reformulated Balance Sheet'!F37</f>
        <v>0.78057399871988764</v>
      </c>
      <c r="H25" s="38">
        <f>'Reformulated Balance Sheet'!H37-'Reformulated Balance Sheet'!G37</f>
        <v>0.78223874125399107</v>
      </c>
      <c r="I25" s="38">
        <f>'Reformulated Balance Sheet'!I37-'Reformulated Balance Sheet'!H37</f>
        <v>0.78390703421086982</v>
      </c>
      <c r="J25" s="38">
        <f>'Reformulated Balance Sheet'!J37-'Reformulated Balance Sheet'!I37</f>
        <v>0.78557888516252206</v>
      </c>
      <c r="K25" s="38">
        <f>'Reformulated Balance Sheet'!K37-'Reformulated Balance Sheet'!J37</f>
        <v>0.78725430169725996</v>
      </c>
      <c r="L25" s="37"/>
    </row>
    <row r="26" spans="1:12" s="1" customFormat="1">
      <c r="A26" s="40" t="s">
        <v>216</v>
      </c>
      <c r="B26" s="30"/>
      <c r="C26" s="30">
        <f>SUM(C24:C25)</f>
        <v>370</v>
      </c>
      <c r="D26" s="30">
        <f t="shared" ref="D26:F26" si="7">SUM(D24:D25)</f>
        <v>6437</v>
      </c>
      <c r="E26" s="30">
        <f t="shared" si="7"/>
        <v>413</v>
      </c>
      <c r="F26" s="30">
        <f t="shared" si="7"/>
        <v>-6</v>
      </c>
      <c r="G26" s="31">
        <f t="shared" ref="G26:K26" si="8">SUM(G24:G25)</f>
        <v>120.44505281338218</v>
      </c>
      <c r="H26" s="31">
        <f t="shared" si="8"/>
        <v>122.08755489864382</v>
      </c>
      <c r="I26" s="31">
        <f t="shared" si="8"/>
        <v>123.75255966867394</v>
      </c>
      <c r="J26" s="31">
        <f t="shared" si="8"/>
        <v>125.44037563880147</v>
      </c>
      <c r="K26" s="31">
        <f t="shared" si="8"/>
        <v>127.1513155546225</v>
      </c>
      <c r="L26" s="37"/>
    </row>
    <row r="27" spans="1:12" s="1" customFormat="1">
      <c r="B27" s="37"/>
      <c r="C27" s="37"/>
      <c r="D27" s="37"/>
      <c r="E27" s="37"/>
      <c r="F27" s="37"/>
      <c r="G27" s="37"/>
      <c r="H27" s="37"/>
      <c r="I27" s="37"/>
      <c r="J27" s="37"/>
      <c r="K27" s="37"/>
      <c r="L27" s="37"/>
    </row>
    <row r="28" spans="1:12" s="1" customFormat="1">
      <c r="A28" s="40" t="s">
        <v>312</v>
      </c>
      <c r="B28" s="30"/>
      <c r="C28" s="30">
        <f>C16+C21+C26</f>
        <v>-3182</v>
      </c>
      <c r="D28" s="30">
        <f t="shared" ref="D28:F28" si="9">D16+D21+D26</f>
        <v>-337</v>
      </c>
      <c r="E28" s="30">
        <f t="shared" si="9"/>
        <v>8892</v>
      </c>
      <c r="F28" s="30">
        <f t="shared" si="9"/>
        <v>1309.4508349769603</v>
      </c>
      <c r="G28" s="31">
        <f t="shared" ref="G28:K28" si="10">G16+G21+G26</f>
        <v>-15566.943397888514</v>
      </c>
      <c r="H28" s="31">
        <f t="shared" si="10"/>
        <v>-37374.97036956669</v>
      </c>
      <c r="I28" s="31">
        <f t="shared" si="10"/>
        <v>-65225.175009140687</v>
      </c>
      <c r="J28" s="31">
        <f t="shared" si="10"/>
        <v>-100456.49979876072</v>
      </c>
      <c r="K28" s="31">
        <f t="shared" si="10"/>
        <v>-46113.171029013538</v>
      </c>
      <c r="L28" s="37"/>
    </row>
    <row r="29" spans="1:12">
      <c r="A29" s="34" t="s">
        <v>204</v>
      </c>
      <c r="B29" s="35"/>
      <c r="C29" s="36">
        <f>'Reformulated Balance Sheet'!C7</f>
        <v>12848</v>
      </c>
      <c r="D29" s="36">
        <f>'Reformulated Balance Sheet'!D7</f>
        <v>9666</v>
      </c>
      <c r="E29" s="36">
        <f>'Reformulated Balance Sheet'!E7</f>
        <v>9329</v>
      </c>
      <c r="F29" s="36">
        <f>'Reformulated Balance Sheet'!F7</f>
        <v>18221</v>
      </c>
      <c r="G29" s="36">
        <f>'Reformulated Balance Sheet'!G7</f>
        <v>19530.45083497696</v>
      </c>
      <c r="H29" s="36">
        <f>'Reformulated Balance Sheet'!H7</f>
        <v>20934.005258627531</v>
      </c>
      <c r="I29" s="36">
        <f>'Reformulated Balance Sheet'!I7</f>
        <v>22438.426018482747</v>
      </c>
      <c r="J29" s="36">
        <f>'Reformulated Balance Sheet'!J7</f>
        <v>24050.96186643132</v>
      </c>
      <c r="K29" s="36">
        <f>'Reformulated Balance Sheet'!K7</f>
        <v>25779.382485387334</v>
      </c>
      <c r="L29" s="32"/>
    </row>
    <row r="30" spans="1:12">
      <c r="A30" s="40" t="s">
        <v>203</v>
      </c>
      <c r="B30" s="30"/>
      <c r="C30" s="30">
        <f>SUM(C28:C29)</f>
        <v>9666</v>
      </c>
      <c r="D30" s="30">
        <f t="shared" ref="D30:F30" si="11">SUM(D28:D29)</f>
        <v>9329</v>
      </c>
      <c r="E30" s="30">
        <f t="shared" si="11"/>
        <v>18221</v>
      </c>
      <c r="F30" s="30">
        <f t="shared" si="11"/>
        <v>19530.45083497696</v>
      </c>
      <c r="G30" s="31">
        <f t="shared" ref="G30:K30" si="12">SUM(G28:G29)</f>
        <v>3963.5074370884467</v>
      </c>
      <c r="H30" s="31">
        <f t="shared" si="12"/>
        <v>-16440.96511093916</v>
      </c>
      <c r="I30" s="31">
        <f t="shared" si="12"/>
        <v>-42786.748990657943</v>
      </c>
      <c r="J30" s="31">
        <f t="shared" si="12"/>
        <v>-76405.537932329404</v>
      </c>
      <c r="K30" s="31">
        <f t="shared" si="12"/>
        <v>-20333.788543626204</v>
      </c>
      <c r="L30" s="32"/>
    </row>
    <row r="31" spans="1:12">
      <c r="B31" s="32"/>
      <c r="C31" s="32"/>
      <c r="D31" s="32"/>
      <c r="E31" s="32"/>
      <c r="F31" s="32"/>
      <c r="G31" s="32"/>
      <c r="H31" s="32"/>
      <c r="I31" s="32"/>
      <c r="J31" s="32"/>
      <c r="K31" s="32"/>
      <c r="L31" s="32"/>
    </row>
    <row r="32" spans="1:12">
      <c r="A32" s="34" t="s">
        <v>205</v>
      </c>
      <c r="B32" s="35"/>
      <c r="C32" s="36">
        <f>'Reformulated Balance Sheet'!D7</f>
        <v>9666</v>
      </c>
      <c r="D32" s="36">
        <f>'Reformulated Balance Sheet'!E7</f>
        <v>9329</v>
      </c>
      <c r="E32" s="36">
        <f>'Reformulated Balance Sheet'!F7</f>
        <v>18221</v>
      </c>
      <c r="F32" s="36">
        <f>'Reformulated Balance Sheet'!G7</f>
        <v>19530.45083497696</v>
      </c>
      <c r="G32" s="36">
        <f>'Reformulated Balance Sheet'!H7</f>
        <v>20934.005258627531</v>
      </c>
      <c r="H32" s="36">
        <f>'Reformulated Balance Sheet'!I7</f>
        <v>22438.426018482747</v>
      </c>
      <c r="I32" s="36">
        <f>'Reformulated Balance Sheet'!J7</f>
        <v>24050.96186643132</v>
      </c>
      <c r="J32" s="36">
        <f>'Reformulated Balance Sheet'!K7</f>
        <v>25779.382485387334</v>
      </c>
      <c r="K32" s="36"/>
      <c r="L32" s="32"/>
    </row>
    <row r="33" spans="1:12">
      <c r="A33" s="28" t="s">
        <v>313</v>
      </c>
      <c r="B33" s="32"/>
      <c r="C33" s="32">
        <f>C30-C32</f>
        <v>0</v>
      </c>
      <c r="D33" s="32">
        <f t="shared" ref="D33:J33" si="13">D30-D32</f>
        <v>0</v>
      </c>
      <c r="E33" s="32">
        <f t="shared" si="13"/>
        <v>0</v>
      </c>
      <c r="F33" s="32">
        <f t="shared" si="13"/>
        <v>0</v>
      </c>
      <c r="G33" s="32">
        <f t="shared" si="13"/>
        <v>-16970.497821539084</v>
      </c>
      <c r="H33" s="32">
        <f t="shared" si="13"/>
        <v>-38879.391129421907</v>
      </c>
      <c r="I33" s="32">
        <f t="shared" si="13"/>
        <v>-66837.71085708926</v>
      </c>
      <c r="J33" s="32">
        <f t="shared" si="13"/>
        <v>-102184.92041771674</v>
      </c>
      <c r="K33" s="32"/>
      <c r="L33" s="32"/>
    </row>
    <row r="34" spans="1:12">
      <c r="A34" s="41"/>
      <c r="C34" s="32"/>
      <c r="D34" s="32"/>
      <c r="E34" s="32"/>
      <c r="F34" s="32"/>
      <c r="G34" s="32"/>
      <c r="H34" s="32"/>
      <c r="I34" s="32"/>
      <c r="J34" s="32"/>
      <c r="K34" s="32"/>
    </row>
    <row r="35" spans="1:12">
      <c r="A35" s="43"/>
    </row>
    <row r="36" spans="1:12">
      <c r="A36" s="25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304436-28D8-4741-B12E-409F184F3F7F}">
  <dimension ref="A1:K60"/>
  <sheetViews>
    <sheetView tabSelected="1" zoomScale="125" workbookViewId="0">
      <selection activeCell="E16" sqref="E16"/>
    </sheetView>
  </sheetViews>
  <sheetFormatPr baseColWidth="10" defaultRowHeight="16"/>
  <cols>
    <col min="1" max="1" width="34" bestFit="1" customWidth="1"/>
    <col min="2" max="2" width="18" bestFit="1" customWidth="1"/>
    <col min="3" max="3" width="14.5" bestFit="1" customWidth="1"/>
    <col min="6" max="6" width="12" bestFit="1" customWidth="1"/>
  </cols>
  <sheetData>
    <row r="1" spans="1:11">
      <c r="A1" s="99" t="s">
        <v>220</v>
      </c>
      <c r="B1" s="94"/>
      <c r="C1" s="94"/>
      <c r="D1" s="94"/>
      <c r="E1" s="94"/>
      <c r="F1" s="94"/>
      <c r="G1" s="94"/>
      <c r="H1" s="94"/>
      <c r="I1" s="94"/>
      <c r="J1" s="94"/>
    </row>
    <row r="2" spans="1:11">
      <c r="A2" s="21" t="s">
        <v>221</v>
      </c>
      <c r="B2" s="21" t="s">
        <v>222</v>
      </c>
      <c r="C2" s="21" t="s">
        <v>223</v>
      </c>
      <c r="D2" s="21" t="s">
        <v>224</v>
      </c>
      <c r="E2" s="21" t="s">
        <v>225</v>
      </c>
      <c r="F2" s="98">
        <v>2018</v>
      </c>
      <c r="G2" s="98">
        <f>F2+1</f>
        <v>2019</v>
      </c>
      <c r="H2" s="98">
        <f t="shared" ref="H2:J2" si="0">G2+1</f>
        <v>2020</v>
      </c>
      <c r="I2" s="98">
        <f t="shared" si="0"/>
        <v>2021</v>
      </c>
      <c r="J2" s="98">
        <f t="shared" si="0"/>
        <v>2022</v>
      </c>
      <c r="K2">
        <v>4.13</v>
      </c>
    </row>
    <row r="3" spans="1:11">
      <c r="A3" t="s">
        <v>226</v>
      </c>
      <c r="B3" t="s">
        <v>227</v>
      </c>
      <c r="C3" t="s">
        <v>241</v>
      </c>
      <c r="D3" s="22">
        <v>0.14000000000000001</v>
      </c>
      <c r="E3" s="8">
        <f>IF(C3="AVERAGE",GEOMEAN(F3:I3),IF(C3="MANUAL",D3,IF(C3="INDUSTRY",K2,IF(C3="LATEST",F3,"NA"))))</f>
        <v>0.10124872806302841</v>
      </c>
      <c r="F3" s="23">
        <f>('Reformulated Income'!C3-'Reformulated Income'!B3)/'Reformulated Income'!B3</f>
        <v>0.18975012997140628</v>
      </c>
      <c r="G3" s="23">
        <f>('Reformulated Income'!D3-'Reformulated Income'!C3)/'Reformulated Income'!C3</f>
        <v>7.1594873790650201E-2</v>
      </c>
      <c r="H3" s="23">
        <f>('Reformulated Income'!E3-'Reformulated Income'!D3)/'Reformulated Income'!D3</f>
        <v>4.60531765095668E-2</v>
      </c>
      <c r="I3" s="23">
        <f>('Reformulated Income'!F3-'Reformulated Income'!E3)/'Reformulated Income'!E3</f>
        <v>0.16797115308478044</v>
      </c>
      <c r="J3" s="23"/>
      <c r="K3" s="23"/>
    </row>
    <row r="4" spans="1:11">
      <c r="A4" t="s">
        <v>229</v>
      </c>
      <c r="B4" t="s">
        <v>230</v>
      </c>
      <c r="C4" t="s">
        <v>228</v>
      </c>
      <c r="D4" s="22">
        <v>0.14000000000000001</v>
      </c>
      <c r="E4" s="8">
        <f>IF(C4="AVERAGE",AVERAGE(F4:J4),IF(C4="MANUAL",D4,IF(C4="LATEST",F4,"NA")))</f>
        <v>2.1932674811541462E-2</v>
      </c>
      <c r="F4" s="23">
        <f>'Reformulated Income'!B4/'Reformulated Income'!B3</f>
        <v>2.1932674811541462E-2</v>
      </c>
      <c r="G4" s="23">
        <f>'Reformulated Income'!C4/'Reformulated Income'!C3</f>
        <v>1.5498794917487693E-2</v>
      </c>
      <c r="H4" s="23">
        <f>'Reformulated Income'!D4/'Reformulated Income'!D3</f>
        <v>1.2137700781782617E-2</v>
      </c>
      <c r="I4" s="23">
        <f>'Reformulated Income'!E4/'Reformulated Income'!E3</f>
        <v>8.9050232371160401E-3</v>
      </c>
      <c r="J4" s="23">
        <f>'Reformulated Income'!F4/'Reformulated Income'!F3</f>
        <v>6.0650625280307064E-3</v>
      </c>
    </row>
    <row r="5" spans="1:11">
      <c r="A5" t="s">
        <v>63</v>
      </c>
      <c r="B5" t="s">
        <v>230</v>
      </c>
      <c r="C5" t="s">
        <v>242</v>
      </c>
      <c r="D5" s="22">
        <v>0.2</v>
      </c>
      <c r="E5" s="8">
        <f t="shared" ref="E5:E14" si="1">IF(C5="AVERAGE",AVERAGE(F5:J5),IF(C5="MANUAL",D5,IF(C5="LATEST",F5,"NA")))</f>
        <v>0.2</v>
      </c>
      <c r="F5" s="23">
        <f>'Reformulated Income'!B7/'Reformulated Income'!B3</f>
        <v>0.53934884325448407</v>
      </c>
      <c r="G5" s="23">
        <f>'Reformulated Income'!C7/'Reformulated Income'!C3</f>
        <v>0.53423731590913748</v>
      </c>
      <c r="H5" s="23">
        <f>'Reformulated Income'!D7/'Reformulated Income'!D3</f>
        <v>0.54764286487967428</v>
      </c>
      <c r="I5" s="23">
        <f>'Reformulated Income'!E7/'Reformulated Income'!E3</f>
        <v>0.55923789568575377</v>
      </c>
      <c r="J5" s="23">
        <f>'Reformulated Income'!F7/'Reformulated Income'!F3</f>
        <v>0.56089573098866252</v>
      </c>
    </row>
    <row r="6" spans="1:11">
      <c r="A6" t="s">
        <v>231</v>
      </c>
      <c r="B6" t="s">
        <v>230</v>
      </c>
      <c r="C6" t="s">
        <v>228</v>
      </c>
      <c r="D6" s="22">
        <v>0.4</v>
      </c>
      <c r="E6" s="8">
        <f t="shared" si="1"/>
        <v>1.6360150766831297E-2</v>
      </c>
      <c r="F6" s="23">
        <f>'Reformulated Income'!B10/'Reformulated Income'!B3</f>
        <v>1.6360150766831297E-2</v>
      </c>
      <c r="G6" s="23">
        <f>'Reformulated Income'!C10/'Reformulated Income'!C3</f>
        <v>1.4037675044209118E-2</v>
      </c>
      <c r="H6" s="23">
        <f>'Reformulated Income'!D10/'Reformulated Income'!D3</f>
        <v>2.248501105454638E-2</v>
      </c>
      <c r="I6" s="23">
        <f>'Reformulated Income'!E10/'Reformulated Income'!E3</f>
        <v>2.4759862830969016E-2</v>
      </c>
      <c r="J6" s="23">
        <f>'Reformulated Income'!F10/'Reformulated Income'!F3</f>
        <v>2.4009929388695932E-2</v>
      </c>
    </row>
    <row r="7" spans="1:11">
      <c r="A7" t="s">
        <v>232</v>
      </c>
      <c r="B7" t="s">
        <v>230</v>
      </c>
      <c r="C7" t="s">
        <v>228</v>
      </c>
      <c r="D7" s="22">
        <v>0.4</v>
      </c>
      <c r="E7" s="8">
        <f t="shared" si="1"/>
        <v>0.17458409149987003</v>
      </c>
      <c r="F7" s="23">
        <f>'Reformulated Income'!B8/'Reformulated Income'!B3</f>
        <v>0.17458409149987003</v>
      </c>
      <c r="G7" s="23">
        <f>'Reformulated Income'!C8/'Reformulated Income'!C3</f>
        <v>0.18053023630541501</v>
      </c>
      <c r="H7" s="23">
        <f>'Reformulated Income'!D8/'Reformulated Income'!D3</f>
        <v>0.17192208934112355</v>
      </c>
      <c r="I7" s="23">
        <f>'Reformulated Income'!E8/'Reformulated Income'!E3</f>
        <v>0.14834599243499394</v>
      </c>
      <c r="J7" s="23">
        <f>'Reformulated Income'!F8/'Reformulated Income'!F3</f>
        <v>0.15634615184037881</v>
      </c>
    </row>
    <row r="8" spans="1:11">
      <c r="A8" t="s">
        <v>182</v>
      </c>
      <c r="B8" t="s">
        <v>233</v>
      </c>
      <c r="C8" t="s">
        <v>228</v>
      </c>
      <c r="D8" s="22">
        <v>0.4</v>
      </c>
      <c r="E8" s="8">
        <f t="shared" si="1"/>
        <v>0.26922824732804407</v>
      </c>
      <c r="F8" s="23">
        <f>'Reformulated Income'!B13/'Reformulated Income'!B11</f>
        <v>0.26922824732804407</v>
      </c>
      <c r="G8" s="23">
        <f>'Reformulated Income'!C13/'Reformulated Income'!C11</f>
        <v>0.26704939919893189</v>
      </c>
      <c r="H8" s="23">
        <f>'Reformulated Income'!D13/'Reformulated Income'!D11</f>
        <v>0.2540435458786936</v>
      </c>
      <c r="I8" s="23">
        <f>'Reformulated Income'!E13/'Reformulated Income'!E11</f>
        <v>0.26360019773545823</v>
      </c>
      <c r="J8" s="23">
        <f>'Reformulated Income'!F13/'Reformulated Income'!F11</f>
        <v>0.27321321693187212</v>
      </c>
    </row>
    <row r="9" spans="1:11">
      <c r="A9" t="s">
        <v>186</v>
      </c>
      <c r="B9" t="s">
        <v>230</v>
      </c>
      <c r="C9" t="s">
        <v>228</v>
      </c>
      <c r="D9" s="22">
        <v>0</v>
      </c>
      <c r="E9" s="8">
        <f t="shared" si="1"/>
        <v>0</v>
      </c>
      <c r="F9">
        <f>'Reformulated Income'!B19/'Reformulated Income'!B3</f>
        <v>0</v>
      </c>
      <c r="G9">
        <f>'Reformulated Income'!C19/'Reformulated Income'!C3</f>
        <v>0</v>
      </c>
      <c r="H9">
        <f>'Reformulated Income'!D19/'Reformulated Income'!D3</f>
        <v>0</v>
      </c>
      <c r="I9">
        <f>'Reformulated Income'!E19/'Reformulated Income'!E3</f>
        <v>0</v>
      </c>
      <c r="J9">
        <f>'Reformulated Income'!F19/'Reformulated Income'!F3</f>
        <v>0</v>
      </c>
    </row>
    <row r="10" spans="1:11">
      <c r="A10" t="s">
        <v>234</v>
      </c>
      <c r="B10" t="s">
        <v>227</v>
      </c>
      <c r="C10" t="s">
        <v>241</v>
      </c>
      <c r="D10" s="22">
        <v>0.14000000000000001</v>
      </c>
      <c r="E10" s="8">
        <f t="shared" si="1"/>
        <v>0.36990481135340947</v>
      </c>
      <c r="F10" s="23"/>
      <c r="G10" s="23">
        <f>('Reformulated Income'!C21-'Reformulated Income'!B21)/'Reformulated Income'!C21</f>
        <v>0.4</v>
      </c>
      <c r="H10" s="23">
        <f>('Reformulated Income'!D21-'Reformulated Income'!C21)/'Reformulated Income'!D21</f>
        <v>0.15887850467289719</v>
      </c>
      <c r="I10" s="23">
        <f>('Reformulated Income'!E21-'Reformulated Income'!D21)/'Reformulated Income'!E21</f>
        <v>0.92074074074074075</v>
      </c>
      <c r="J10" s="23">
        <v>0</v>
      </c>
    </row>
    <row r="11" spans="1:11">
      <c r="A11" t="s">
        <v>235</v>
      </c>
      <c r="B11" t="s">
        <v>236</v>
      </c>
      <c r="C11" t="s">
        <v>242</v>
      </c>
      <c r="D11" s="22">
        <v>0.14000000000000001</v>
      </c>
      <c r="E11" s="8">
        <f t="shared" si="1"/>
        <v>0.14000000000000001</v>
      </c>
      <c r="F11" s="24">
        <f>'Reformulated Income'!B24/'Reformulated Balance Sheet'!B24</f>
        <v>12.099667774086379</v>
      </c>
      <c r="G11" s="24">
        <f>'Reformulated Income'!C24/'Reformulated Balance Sheet'!C24</f>
        <v>18.03765690376569</v>
      </c>
      <c r="H11" s="24">
        <f>'Reformulated Income'!D24/'Reformulated Balance Sheet'!D24</f>
        <v>21.25925925925926</v>
      </c>
      <c r="I11" s="24">
        <f>'Reformulated Income'!E24/'Reformulated Balance Sheet'!E24</f>
        <v>14.713615023474178</v>
      </c>
      <c r="J11" s="24">
        <f>'Reformulated Income'!F24/'Reformulated Balance Sheet'!F24</f>
        <v>18.017937219730943</v>
      </c>
    </row>
    <row r="12" spans="1:11">
      <c r="A12" t="s">
        <v>237</v>
      </c>
      <c r="B12" t="s">
        <v>238</v>
      </c>
      <c r="C12" t="s">
        <v>228</v>
      </c>
      <c r="D12" s="22">
        <v>0.14000000000000001</v>
      </c>
      <c r="E12" s="8">
        <f t="shared" si="1"/>
        <v>2.9850746268656716E-2</v>
      </c>
      <c r="F12" s="24">
        <f>'Reformulated Income'!B25/('Reformulated Balance Sheet'!B31+'Reformulated Balance Sheet'!B15)</f>
        <v>2.9850746268656716E-2</v>
      </c>
      <c r="G12" s="24">
        <f>'Reformulated Income'!C25/('Reformulated Balance Sheet'!C31+'Reformulated Balance Sheet'!C15)</f>
        <v>0.10323253388946819</v>
      </c>
      <c r="H12" s="24">
        <f>'Reformulated Income'!D25/('Reformulated Balance Sheet'!D31+'Reformulated Balance Sheet'!D15)</f>
        <v>0.11117795692455781</v>
      </c>
      <c r="I12" s="24">
        <f>'Reformulated Income'!E25/('Reformulated Balance Sheet'!E31+'Reformulated Balance Sheet'!E15)</f>
        <v>7.2975140336808339E-2</v>
      </c>
      <c r="J12" s="24">
        <f>'Reformulated Income'!F25/('Reformulated Balance Sheet'!F31+'Reformulated Balance Sheet'!F15)</f>
        <v>8.9836140712730606E-2</v>
      </c>
    </row>
    <row r="13" spans="1:11">
      <c r="A13" t="s">
        <v>195</v>
      </c>
      <c r="B13" t="s">
        <v>236</v>
      </c>
      <c r="C13" t="s">
        <v>228</v>
      </c>
      <c r="D13" s="22">
        <v>0.14000000000000001</v>
      </c>
      <c r="E13" s="8">
        <f t="shared" si="1"/>
        <v>0</v>
      </c>
      <c r="F13">
        <f>'Reformulated Income'!B29/'Reformulated Balance Sheet'!B24</f>
        <v>0</v>
      </c>
      <c r="G13">
        <f>'Reformulated Income'!C29/'Reformulated Balance Sheet'!C24</f>
        <v>0</v>
      </c>
      <c r="H13">
        <f>'Reformulated Income'!D29/'Reformulated Balance Sheet'!D24</f>
        <v>0</v>
      </c>
      <c r="I13">
        <f>'Reformulated Income'!E29/'Reformulated Balance Sheet'!E24</f>
        <v>0</v>
      </c>
      <c r="J13">
        <f>'Reformulated Income'!F29/'Reformulated Balance Sheet'!F24</f>
        <v>0</v>
      </c>
    </row>
    <row r="14" spans="1:11">
      <c r="A14" t="s">
        <v>239</v>
      </c>
      <c r="B14" t="s">
        <v>240</v>
      </c>
      <c r="C14" t="s">
        <v>228</v>
      </c>
      <c r="D14" s="22">
        <v>0.3</v>
      </c>
      <c r="E14" s="8">
        <f t="shared" si="1"/>
        <v>0.3</v>
      </c>
      <c r="F14" s="22">
        <v>0.3</v>
      </c>
      <c r="G14" s="22">
        <v>0.3</v>
      </c>
      <c r="H14" s="22">
        <v>0.3</v>
      </c>
      <c r="I14" s="22">
        <v>0.3</v>
      </c>
      <c r="J14" s="22">
        <v>0.3</v>
      </c>
    </row>
    <row r="15" spans="1:11">
      <c r="E15" s="8"/>
    </row>
    <row r="16" spans="1:11">
      <c r="E16" s="8"/>
    </row>
    <row r="17" spans="1:10">
      <c r="A17" s="21" t="s">
        <v>155</v>
      </c>
      <c r="E17" s="8"/>
    </row>
    <row r="18" spans="1:10">
      <c r="A18" s="25" t="s">
        <v>156</v>
      </c>
      <c r="B18" t="s">
        <v>230</v>
      </c>
      <c r="C18" t="s">
        <v>241</v>
      </c>
      <c r="D18" s="22">
        <v>0.1</v>
      </c>
      <c r="E18" s="8">
        <f>IF(C18="AVERAGE",AVERAGE(F18:J18),IF(C18="MANUAL",D18,IF(C18="LATEST",F18,"NA")))</f>
        <v>9.9334759358118932E-2</v>
      </c>
      <c r="F18" s="24">
        <f>'Reformulated Balance Sheet'!B4/'Reformulated Income'!B3</f>
        <v>8.3084221471276323E-2</v>
      </c>
      <c r="G18" s="24">
        <f>'Reformulated Balance Sheet'!C4/'Reformulated Income'!C3</f>
        <v>7.2304950738411755E-2</v>
      </c>
      <c r="H18" s="24">
        <f>'Reformulated Balance Sheet'!D4/'Reformulated Income'!D3</f>
        <v>0.12244741922535346</v>
      </c>
      <c r="I18" s="24">
        <f>'Reformulated Balance Sheet'!E4/'Reformulated Income'!E3</f>
        <v>0.11708704629759345</v>
      </c>
      <c r="J18" s="24">
        <f>'Reformulated Balance Sheet'!F4/'Reformulated Income'!F3</f>
        <v>0.10175015905795967</v>
      </c>
    </row>
    <row r="19" spans="1:10">
      <c r="A19" s="25" t="s">
        <v>36</v>
      </c>
      <c r="B19" t="s">
        <v>230</v>
      </c>
      <c r="C19" t="s">
        <v>241</v>
      </c>
      <c r="D19" s="22">
        <v>0.01</v>
      </c>
      <c r="E19" s="8">
        <f t="shared" ref="E19:E25" si="2">IF(C19="AVERAGE",AVERAGE(F19:J19),IF(C19="MANUAL",D19,IF(C19="LATEST",F19,"NA")))</f>
        <v>1.1482497040454339E-2</v>
      </c>
      <c r="F19" s="24">
        <f>'Reformulated Balance Sheet'!B5/'Reformulated Income'!B3</f>
        <v>1.4386210033792566E-2</v>
      </c>
      <c r="G19" s="24">
        <f>'Reformulated Balance Sheet'!C5/'Reformulated Income'!C3</f>
        <v>1.1675303660310112E-2</v>
      </c>
      <c r="H19" s="24">
        <f>'Reformulated Balance Sheet'!D5/'Reformulated Income'!D3</f>
        <v>1.0927116451841044E-2</v>
      </c>
      <c r="I19" s="24">
        <f>'Reformulated Balance Sheet'!E5/'Reformulated Income'!E3</f>
        <v>1.1000322822319813E-2</v>
      </c>
      <c r="J19" s="24">
        <f>'Reformulated Balance Sheet'!F5/'Reformulated Income'!F3</f>
        <v>9.4235322340081567E-3</v>
      </c>
    </row>
    <row r="20" spans="1:10">
      <c r="A20" s="25" t="s">
        <v>37</v>
      </c>
      <c r="B20" t="s">
        <v>230</v>
      </c>
      <c r="C20" t="s">
        <v>241</v>
      </c>
      <c r="D20" s="22">
        <v>0.2</v>
      </c>
      <c r="E20" s="8">
        <f t="shared" si="2"/>
        <v>0.18895366546406986</v>
      </c>
      <c r="F20" s="24">
        <f>'Reformulated Balance Sheet'!B6/'Reformulated Income'!B3</f>
        <v>0.20261729919417729</v>
      </c>
      <c r="G20" s="24">
        <f>'Reformulated Balance Sheet'!C6/'Reformulated Income'!C3</f>
        <v>0.18670927128353235</v>
      </c>
      <c r="H20" s="24">
        <f>'Reformulated Balance Sheet'!D6/'Reformulated Income'!D3</f>
        <v>0.19453453032513746</v>
      </c>
      <c r="I20" s="24">
        <f>'Reformulated Balance Sheet'!E6/'Reformulated Income'!E3</f>
        <v>0.18321080297483813</v>
      </c>
      <c r="J20" s="24">
        <f>'Reformulated Balance Sheet'!F6/'Reformulated Income'!F3</f>
        <v>0.17769642354266404</v>
      </c>
    </row>
    <row r="21" spans="1:10">
      <c r="A21" s="25" t="s">
        <v>38</v>
      </c>
      <c r="B21" t="s">
        <v>230</v>
      </c>
      <c r="C21" t="s">
        <v>241</v>
      </c>
      <c r="D21" s="22">
        <v>0.08</v>
      </c>
      <c r="E21" s="8">
        <f t="shared" si="2"/>
        <v>7.1864927006034668E-2</v>
      </c>
      <c r="F21" s="24">
        <f>'Reformulated Balance Sheet'!B7/'Reformulated Income'!B3</f>
        <v>5.8170327527943849E-2</v>
      </c>
      <c r="G21" s="24">
        <f>'Reformulated Balance Sheet'!C7/'Reformulated Income'!C3</f>
        <v>8.7721813700388493E-2</v>
      </c>
      <c r="H21" s="24">
        <f>'Reformulated Balance Sheet'!D7/'Reformulated Income'!D3</f>
        <v>6.1586884911659201E-2</v>
      </c>
      <c r="I21" s="24">
        <f>'Reformulated Balance Sheet'!E7/'Reformulated Income'!E3</f>
        <v>5.6822819274319786E-2</v>
      </c>
      <c r="J21" s="24">
        <f>'Reformulated Balance Sheet'!F7/'Reformulated Income'!F3</f>
        <v>9.5022789615861997E-2</v>
      </c>
    </row>
    <row r="22" spans="1:10">
      <c r="A22" s="25" t="s">
        <v>39</v>
      </c>
      <c r="B22" t="s">
        <v>230</v>
      </c>
      <c r="C22" t="s">
        <v>241</v>
      </c>
      <c r="D22" s="22">
        <v>0.05</v>
      </c>
      <c r="E22" s="8">
        <f t="shared" si="2"/>
        <v>4.7667842548210194E-2</v>
      </c>
      <c r="F22" s="24">
        <f>'Reformulated Balance Sheet'!B8/'Reformulated Income'!B3</f>
        <v>2.603489732258903E-2</v>
      </c>
      <c r="G22" s="24">
        <f>'Reformulated Balance Sheet'!C8/'Reformulated Income'!C3</f>
        <v>5.4819305899783566E-2</v>
      </c>
      <c r="H22" s="24">
        <f>'Reformulated Balance Sheet'!D8/'Reformulated Income'!D3</f>
        <v>5.3998432611867549E-2</v>
      </c>
      <c r="I22" s="24">
        <f>'Reformulated Balance Sheet'!E8/'Reformulated Income'!E3</f>
        <v>6.9875804771679345E-2</v>
      </c>
      <c r="J22" s="24">
        <f>'Reformulated Balance Sheet'!F8/'Reformulated Income'!F3</f>
        <v>3.3610772135131473E-2</v>
      </c>
    </row>
    <row r="23" spans="1:10">
      <c r="A23" s="25" t="s">
        <v>243</v>
      </c>
      <c r="B23" t="s">
        <v>230</v>
      </c>
      <c r="C23" t="s">
        <v>241</v>
      </c>
      <c r="D23" s="22">
        <v>0.11</v>
      </c>
      <c r="E23" s="8">
        <f t="shared" si="2"/>
        <v>9.99557878235732E-2</v>
      </c>
      <c r="F23" s="24">
        <f>'Reformulated Balance Sheet'!B9/'Reformulated Income'!B3</f>
        <v>8.2710553678190801E-2</v>
      </c>
      <c r="G23" s="24">
        <f>'Reformulated Balance Sheet'!C9/'Reformulated Income'!C3</f>
        <v>0.10109720543755078</v>
      </c>
      <c r="H23" s="24">
        <f>'Reformulated Balance Sheet'!D9/'Reformulated Income'!D3</f>
        <v>9.8242104122995375E-2</v>
      </c>
      <c r="I23" s="24">
        <f>'Reformulated Balance Sheet'!E9/'Reformulated Income'!E3</f>
        <v>0.11714186518209006</v>
      </c>
      <c r="J23" s="24">
        <f>'Reformulated Balance Sheet'!F9/'Reformulated Income'!F3</f>
        <v>0.10058721069703891</v>
      </c>
    </row>
    <row r="24" spans="1:10">
      <c r="A24" s="25" t="s">
        <v>157</v>
      </c>
      <c r="B24" t="s">
        <v>230</v>
      </c>
      <c r="C24" t="s">
        <v>241</v>
      </c>
      <c r="D24" s="22">
        <v>0.04</v>
      </c>
      <c r="E24" s="8">
        <f t="shared" si="2"/>
        <v>2.1490154510080045E-2</v>
      </c>
      <c r="F24" s="24">
        <f>'Reformulated Balance Sheet'!B10/'Reformulated Income'!B3</f>
        <v>2.8016961268520924E-2</v>
      </c>
      <c r="G24" s="24">
        <f>'Reformulated Balance Sheet'!C10/'Reformulated Income'!C3</f>
        <v>1.8134272819756526E-2</v>
      </c>
      <c r="H24" s="24">
        <f>'Reformulated Balance Sheet'!D10/'Reformulated Income'!D3</f>
        <v>1.8018592026709312E-2</v>
      </c>
      <c r="I24" s="24">
        <f>'Reformulated Balance Sheet'!E10/'Reformulated Income'!E3</f>
        <v>2.394367055068615E-2</v>
      </c>
      <c r="J24" s="24">
        <f>'Reformulated Balance Sheet'!F10/'Reformulated Income'!F3</f>
        <v>1.9337275884727306E-2</v>
      </c>
    </row>
    <row r="25" spans="1:10">
      <c r="A25" s="25" t="s">
        <v>27</v>
      </c>
      <c r="B25" t="s">
        <v>230</v>
      </c>
      <c r="C25" t="s">
        <v>241</v>
      </c>
      <c r="D25" s="22">
        <v>0.01</v>
      </c>
      <c r="E25" s="8">
        <f t="shared" si="2"/>
        <v>6.9306857178219302E-3</v>
      </c>
      <c r="F25" s="24">
        <f>'Reformulated Balance Sheet'!B11/'Reformulated Income'!B3</f>
        <v>1.0381466077462959E-2</v>
      </c>
      <c r="G25" s="24">
        <f>'Reformulated Balance Sheet'!C11/'Reformulated Income'!C3</f>
        <v>6.5750394297535899E-3</v>
      </c>
      <c r="H25" s="24">
        <f>'Reformulated Balance Sheet'!D11/'Reformulated Income'!D3</f>
        <v>5.772575804879292E-3</v>
      </c>
      <c r="I25" s="24">
        <f>'Reformulated Balance Sheet'!E11/'Reformulated Income'!E3</f>
        <v>5.6402541159845778E-3</v>
      </c>
      <c r="J25" s="24">
        <f>'Reformulated Balance Sheet'!F11/'Reformulated Income'!F3</f>
        <v>6.2840931610292352E-3</v>
      </c>
    </row>
    <row r="26" spans="1:10">
      <c r="A26" s="25"/>
      <c r="E26" s="8"/>
    </row>
    <row r="27" spans="1:10">
      <c r="A27" s="26" t="s">
        <v>158</v>
      </c>
      <c r="E27" s="8"/>
    </row>
    <row r="28" spans="1:10">
      <c r="A28" s="25"/>
      <c r="E28" s="8"/>
    </row>
    <row r="29" spans="1:10">
      <c r="A29" s="27" t="s">
        <v>159</v>
      </c>
      <c r="D29" s="22"/>
      <c r="E29" s="8"/>
      <c r="F29" s="24"/>
      <c r="G29" s="24"/>
      <c r="H29" s="24"/>
      <c r="I29" s="24"/>
      <c r="J29" s="24"/>
    </row>
    <row r="30" spans="1:10">
      <c r="A30" s="25" t="s">
        <v>13</v>
      </c>
      <c r="B30" t="s">
        <v>230</v>
      </c>
      <c r="C30" t="s">
        <v>228</v>
      </c>
      <c r="D30" s="22">
        <v>0.02</v>
      </c>
      <c r="E30" s="8">
        <f t="shared" ref="E30:E34" si="3">IF(C30="AVERAGE",AVERAGE(F30:J30),IF(C30="MANUAL",D30,IF(C30="LATEST",F30,"NA")))</f>
        <v>1.3711983363659995E-2</v>
      </c>
      <c r="F30" s="24">
        <f>'Reformulated Balance Sheet'!B15/'Reformulated Income'!B3</f>
        <v>1.3711983363659995E-2</v>
      </c>
      <c r="G30" s="24">
        <f>'Reformulated Balance Sheet'!C15/'Reformulated Income'!C3</f>
        <v>1.2795040385626405E-2</v>
      </c>
      <c r="H30" s="24">
        <f>'Reformulated Balance Sheet'!D15/'Reformulated Income'!D3</f>
        <v>5.295350719023377E-2</v>
      </c>
      <c r="I30" s="24">
        <f>'Reformulated Balance Sheet'!E15/'Reformulated Income'!E3</f>
        <v>5.3168226974545763E-2</v>
      </c>
      <c r="J30" s="24">
        <f>'Reformulated Balance Sheet'!F15/'Reformulated Income'!F3</f>
        <v>4.5511436528051563E-2</v>
      </c>
    </row>
    <row r="31" spans="1:10">
      <c r="A31" s="25" t="s">
        <v>14</v>
      </c>
      <c r="B31" t="s">
        <v>230</v>
      </c>
      <c r="C31" t="s">
        <v>228</v>
      </c>
      <c r="D31" s="22">
        <v>0.01</v>
      </c>
      <c r="E31" s="8">
        <f t="shared" si="3"/>
        <v>2.112035352222511E-4</v>
      </c>
      <c r="F31" s="24">
        <f>'Reformulated Balance Sheet'!B16/'Reformulated Income'!B3</f>
        <v>2.112035352222511E-4</v>
      </c>
      <c r="G31" s="24">
        <f>'Reformulated Balance Sheet'!C16/'Reformulated Income'!C3</f>
        <v>0</v>
      </c>
      <c r="H31" s="24">
        <f>'Reformulated Balance Sheet'!D16/'Reformulated Income'!D3</f>
        <v>0</v>
      </c>
      <c r="I31" s="24">
        <f>'Reformulated Balance Sheet'!E16/'Reformulated Income'!E3</f>
        <v>0</v>
      </c>
      <c r="J31" s="24">
        <f>'Reformulated Balance Sheet'!F16/'Reformulated Income'!F3</f>
        <v>0</v>
      </c>
    </row>
    <row r="32" spans="1:10">
      <c r="A32" s="25" t="s">
        <v>18</v>
      </c>
      <c r="B32" t="s">
        <v>230</v>
      </c>
      <c r="C32" t="s">
        <v>241</v>
      </c>
      <c r="D32" s="22">
        <v>0.05</v>
      </c>
      <c r="E32" s="8">
        <f t="shared" si="3"/>
        <v>4.3422628684861707E-2</v>
      </c>
      <c r="F32" s="24">
        <f>'Reformulated Balance Sheet'!B17/'Reformulated Income'!B3</f>
        <v>4.1379646477774888E-2</v>
      </c>
      <c r="G32" s="24">
        <f>'Reformulated Balance Sheet'!C17/'Reformulated Income'!C3</f>
        <v>4.295965533957382E-2</v>
      </c>
      <c r="H32" s="24">
        <f>'Reformulated Balance Sheet'!D17/'Reformulated Income'!D3</f>
        <v>4.2943886230558968E-2</v>
      </c>
      <c r="I32" s="24">
        <f>'Reformulated Balance Sheet'!E17/'Reformulated Income'!E3</f>
        <v>4.7875159127039719E-2</v>
      </c>
      <c r="J32" s="24">
        <f>'Reformulated Balance Sheet'!F17/'Reformulated Income'!F3</f>
        <v>4.1954796249361159E-2</v>
      </c>
    </row>
    <row r="33" spans="1:10">
      <c r="A33" s="25" t="s">
        <v>19</v>
      </c>
      <c r="B33" t="s">
        <v>230</v>
      </c>
      <c r="C33" t="s">
        <v>241</v>
      </c>
      <c r="D33" s="22">
        <v>0.15</v>
      </c>
      <c r="E33" s="8">
        <f t="shared" si="3"/>
        <v>0.13140666288645297</v>
      </c>
      <c r="F33" s="24">
        <f>'Reformulated Balance Sheet'!B18/'Reformulated Income'!B3</f>
        <v>0.10002112035352223</v>
      </c>
      <c r="G33" s="24">
        <f>'Reformulated Balance Sheet'!C18/'Reformulated Income'!C3</f>
        <v>0.10619064200514806</v>
      </c>
      <c r="H33" s="24">
        <f>'Reformulated Balance Sheet'!D18/'Reformulated Income'!D3</f>
        <v>0.12760195987231521</v>
      </c>
      <c r="I33" s="24">
        <f>'Reformulated Balance Sheet'!E18/'Reformulated Income'!E3</f>
        <v>0.15167167142778831</v>
      </c>
      <c r="J33" s="24">
        <f>'Reformulated Balance Sheet'!F18/'Reformulated Income'!F3</f>
        <v>0.17154792077349104</v>
      </c>
    </row>
    <row r="34" spans="1:10">
      <c r="A34" s="25" t="s">
        <v>20</v>
      </c>
      <c r="B34" t="s">
        <v>230</v>
      </c>
      <c r="C34" t="s">
        <v>241</v>
      </c>
      <c r="D34" s="22">
        <v>0.01</v>
      </c>
      <c r="E34" s="8">
        <f t="shared" si="3"/>
        <v>4.2594906767725914E-3</v>
      </c>
      <c r="F34" s="24">
        <f>'Reformulated Balance Sheet'!B19/'Reformulated Income'!B3</f>
        <v>1.9495710943592409E-3</v>
      </c>
      <c r="G34" s="24">
        <f>'Reformulated Balance Sheet'!C19/'Reformulated Income'!C3</f>
        <v>1.6318114472597175E-3</v>
      </c>
      <c r="H34" s="24">
        <f>'Reformulated Balance Sheet'!D19/'Reformulated Income'!D3</f>
        <v>1.8668484666993738E-3</v>
      </c>
      <c r="I34" s="24">
        <f>'Reformulated Balance Sheet'!E19/'Reformulated Income'!E3</f>
        <v>8.4908361098083168E-3</v>
      </c>
      <c r="J34" s="24">
        <f>'Reformulated Balance Sheet'!F19/'Reformulated Income'!F3</f>
        <v>7.3583862657363077E-3</v>
      </c>
    </row>
    <row r="35" spans="1:10">
      <c r="A35" s="16" t="s">
        <v>12</v>
      </c>
      <c r="B35" t="s">
        <v>230</v>
      </c>
      <c r="C35" t="s">
        <v>241</v>
      </c>
      <c r="D35" s="22">
        <v>0.02</v>
      </c>
      <c r="E35" s="8">
        <f>IF($C35="AVERAGE",AVERAGE($F35:$J35),IF($C35="MANUAL",$D35,IF($C35="LATEST",$F35)))</f>
        <v>5.866125137992481E-3</v>
      </c>
      <c r="F35" s="24">
        <f>'Reformulated Balance Sheet'!B20/'Reformulated Income'!B3</f>
        <v>9.5041590850012993E-3</v>
      </c>
      <c r="G35" s="24">
        <f>'Reformulated Balance Sheet'!C20/'Reformulated Income'!C3</f>
        <v>7.1144248035339983E-3</v>
      </c>
      <c r="H35" s="24">
        <f>'Reformulated Balance Sheet'!D20/'Reformulated Income'!D3</f>
        <v>4.963395752760451E-3</v>
      </c>
      <c r="I35" s="24">
        <f>'Reformulated Balance Sheet'!E20/'Reformulated Income'!E3</f>
        <v>4.6717871565444616E-3</v>
      </c>
      <c r="J35" s="24">
        <f>'Reformulated Balance Sheet'!F20/'Reformulated Income'!F3</f>
        <v>3.0768588921221982E-3</v>
      </c>
    </row>
    <row r="36" spans="1:10">
      <c r="A36" s="26" t="s">
        <v>160</v>
      </c>
    </row>
    <row r="37" spans="1:10">
      <c r="A37" s="25"/>
    </row>
    <row r="38" spans="1:10">
      <c r="A38" s="27" t="s">
        <v>161</v>
      </c>
      <c r="D38" s="22"/>
      <c r="E38" s="8"/>
      <c r="F38" s="24"/>
      <c r="G38" s="24"/>
      <c r="H38" s="24"/>
      <c r="I38" s="24"/>
      <c r="J38" s="24"/>
    </row>
    <row r="39" spans="1:10">
      <c r="A39" s="25" t="s">
        <v>29</v>
      </c>
      <c r="B39" t="s">
        <v>230</v>
      </c>
      <c r="C39" t="s">
        <v>241</v>
      </c>
      <c r="D39" s="22">
        <v>0.01</v>
      </c>
      <c r="E39" s="8">
        <f t="shared" ref="E39:E42" si="4">IF(C39="AVERAGE",AVERAGE(F39:J39),IF(C39="MANUAL",D39,IF(C39="LATEST",F39,"NA")))</f>
        <v>1.5826940787383684E-3</v>
      </c>
      <c r="F39" s="24">
        <f>'Reformulated Balance Sheet'!B24/'Reformulated Income'!B3</f>
        <v>2.4450870808422147E-3</v>
      </c>
      <c r="G39" s="24">
        <f>'Reformulated Balance Sheet'!C24/'Reformulated Income'!C3</f>
        <v>1.6318114472597175E-3</v>
      </c>
      <c r="H39" s="24">
        <f>'Reformulated Balance Sheet'!D24/'Reformulated Income'!D3</f>
        <v>1.3762432382493676E-3</v>
      </c>
      <c r="I39" s="24">
        <f>'Reformulated Balance Sheet'!E24/'Reformulated Income'!E3</f>
        <v>1.2973802664197787E-3</v>
      </c>
      <c r="J39" s="24">
        <f>'Reformulated Balance Sheet'!F24/'Reformulated Income'!F3</f>
        <v>1.1629483609207631E-3</v>
      </c>
    </row>
    <row r="40" spans="1:10">
      <c r="A40" s="25" t="s">
        <v>31</v>
      </c>
      <c r="B40" t="s">
        <v>230</v>
      </c>
      <c r="C40" t="s">
        <v>241</v>
      </c>
      <c r="D40" s="22">
        <v>0.01</v>
      </c>
      <c r="E40" s="8">
        <f t="shared" si="4"/>
        <v>3.687257390861278E-3</v>
      </c>
      <c r="F40" s="24">
        <f>'Reformulated Balance Sheet'!B25/'Reformulated Income'!B3</f>
        <v>1.604334546399792E-2</v>
      </c>
      <c r="G40" s="24">
        <f>'Reformulated Balance Sheet'!C25/'Reformulated Income'!C3</f>
        <v>4.096597775547408E-4</v>
      </c>
      <c r="H40" s="24">
        <f>'Reformulated Balance Sheet'!D25/'Reformulated Income'!D3</f>
        <v>1.8477339772792435E-4</v>
      </c>
      <c r="I40" s="24">
        <f>'Reformulated Balance Sheet'!E25/'Reformulated Income'!E3</f>
        <v>1.7663862782241118E-4</v>
      </c>
      <c r="J40" s="24">
        <f>'Reformulated Balance Sheet'!F25/'Reformulated Income'!F3</f>
        <v>1.6218696872033959E-3</v>
      </c>
    </row>
    <row r="41" spans="1:10">
      <c r="A41" s="25" t="s">
        <v>32</v>
      </c>
      <c r="B41" t="s">
        <v>230</v>
      </c>
      <c r="C41" t="s">
        <v>241</v>
      </c>
      <c r="D41" s="22">
        <v>0.05</v>
      </c>
      <c r="E41" s="8">
        <f t="shared" si="4"/>
        <v>3.9520467350829085E-2</v>
      </c>
      <c r="F41" s="24">
        <f>'Reformulated Balance Sheet'!B26/'Reformulated Income'!B3</f>
        <v>4.9519105796724722E-2</v>
      </c>
      <c r="G41" s="24">
        <f>'Reformulated Balance Sheet'!C26/'Reformulated Income'!C3</f>
        <v>4.5089886182858467E-2</v>
      </c>
      <c r="H41" s="24">
        <f>'Reformulated Balance Sheet'!D26/'Reformulated Income'!D3</f>
        <v>3.6667962204282922E-2</v>
      </c>
      <c r="I41" s="24">
        <f>'Reformulated Balance Sheet'!E26/'Reformulated Income'!E3</f>
        <v>3.2641600224148325E-2</v>
      </c>
      <c r="J41" s="24">
        <f>'Reformulated Balance Sheet'!F26/'Reformulated Income'!F3</f>
        <v>3.368378234613098E-2</v>
      </c>
    </row>
    <row r="42" spans="1:10">
      <c r="A42" s="25" t="s">
        <v>35</v>
      </c>
      <c r="B42" t="s">
        <v>230</v>
      </c>
      <c r="C42" t="s">
        <v>241</v>
      </c>
      <c r="D42" s="22">
        <v>0.2</v>
      </c>
      <c r="E42" s="8">
        <f t="shared" si="4"/>
        <v>0.19813199911944029</v>
      </c>
      <c r="F42" s="24">
        <f>'Reformulated Balance Sheet'!B27/'Reformulated Income'!B3</f>
        <v>0.29005556277618921</v>
      </c>
      <c r="G42" s="24">
        <f>'Reformulated Balance Sheet'!C27/'Reformulated Income'!C3</f>
        <v>0.19862354314741607</v>
      </c>
      <c r="H42" s="24">
        <f>'Reformulated Balance Sheet'!D27/'Reformulated Income'!D3</f>
        <v>0.166550917814067</v>
      </c>
      <c r="I42" s="24">
        <f>'Reformulated Balance Sheet'!E27/'Reformulated Income'!E3</f>
        <v>0.17761318576901758</v>
      </c>
      <c r="J42" s="24">
        <f>'Reformulated Balance Sheet'!F27/'Reformulated Income'!F3</f>
        <v>0.15781678609051181</v>
      </c>
    </row>
    <row r="43" spans="1:10">
      <c r="A43" s="26" t="s">
        <v>162</v>
      </c>
    </row>
    <row r="44" spans="1:10">
      <c r="A44" s="27"/>
    </row>
    <row r="45" spans="1:10">
      <c r="A45" s="27" t="s">
        <v>163</v>
      </c>
      <c r="D45" s="22"/>
      <c r="E45" s="8"/>
      <c r="F45" s="24"/>
      <c r="G45" s="24"/>
      <c r="H45" s="24"/>
      <c r="I45" s="24"/>
      <c r="J45" s="24"/>
    </row>
    <row r="46" spans="1:10">
      <c r="A46" s="25" t="s">
        <v>11</v>
      </c>
      <c r="B46" t="s">
        <v>230</v>
      </c>
      <c r="C46" t="s">
        <v>241</v>
      </c>
      <c r="D46" s="22">
        <v>0.01</v>
      </c>
      <c r="E46" s="8">
        <f t="shared" ref="E46:E47" si="5">IF(C46="AVERAGE",AVERAGE(F46:J46),IF(C46="MANUAL",D46,IF(C46="LATEST",F46,"NA")))</f>
        <v>1.4781413328752782E-4</v>
      </c>
      <c r="F46" s="24">
        <f>'Reformulated Balance Sheet'!B31/'Reformulated Income'!B3</f>
        <v>4.3865349623082922E-4</v>
      </c>
      <c r="G46" s="24">
        <f>'Reformulated Balance Sheet'!C31/'Reformulated Income'!C3</f>
        <v>3.0041717020680989E-4</v>
      </c>
      <c r="H46" s="24">
        <f>'Reformulated Balance Sheet'!D31/'Reformulated Income'!D3</f>
        <v>0</v>
      </c>
      <c r="I46" s="24">
        <f>'Reformulated Balance Sheet'!E31/'Reformulated Income'!E3</f>
        <v>0</v>
      </c>
      <c r="J46" s="24">
        <f>'Reformulated Balance Sheet'!F31/'Reformulated Income'!F3</f>
        <v>0</v>
      </c>
    </row>
    <row r="47" spans="1:10">
      <c r="A47" s="25" t="s">
        <v>17</v>
      </c>
      <c r="B47" t="s">
        <v>230</v>
      </c>
      <c r="C47" t="s">
        <v>228</v>
      </c>
      <c r="D47" s="22">
        <v>0.01</v>
      </c>
      <c r="E47" s="8">
        <f t="shared" si="5"/>
        <v>1.4703015336625942E-3</v>
      </c>
      <c r="F47" s="24">
        <f>'Reformulated Balance Sheet'!B32/'Reformulated Income'!B3</f>
        <v>1.4703015336625942E-3</v>
      </c>
      <c r="G47" s="24">
        <f>'Reformulated Balance Sheet'!C32/'Reformulated Income'!C3</f>
        <v>0</v>
      </c>
      <c r="H47" s="24">
        <f>'Reformulated Balance Sheet'!D32/'Reformulated Income'!D3</f>
        <v>0</v>
      </c>
      <c r="I47" s="24">
        <f>'Reformulated Balance Sheet'!E32/'Reformulated Income'!E3</f>
        <v>0</v>
      </c>
      <c r="J47" s="24">
        <f>'Reformulated Balance Sheet'!F32/'Reformulated Income'!F3</f>
        <v>0</v>
      </c>
    </row>
    <row r="48" spans="1:10">
      <c r="A48" s="26" t="s">
        <v>164</v>
      </c>
    </row>
    <row r="49" spans="1:10">
      <c r="A49" s="27"/>
    </row>
    <row r="50" spans="1:10">
      <c r="A50" s="27" t="s">
        <v>165</v>
      </c>
      <c r="D50" s="22"/>
      <c r="E50" s="8"/>
      <c r="F50" s="24"/>
      <c r="G50" s="24"/>
      <c r="H50" s="24"/>
      <c r="I50" s="24"/>
      <c r="J50" s="24"/>
    </row>
    <row r="51" spans="1:10">
      <c r="A51" s="25" t="s">
        <v>166</v>
      </c>
      <c r="B51" t="s">
        <v>230</v>
      </c>
      <c r="C51" t="s">
        <v>241</v>
      </c>
      <c r="D51" s="22">
        <v>0.01</v>
      </c>
      <c r="E51" s="8">
        <f t="shared" ref="E51:E54" si="6">IF(C51="AVERAGE",AVERAGE(F51:J51),IF(C51="MANUAL",D51,IF(C51="LATEST",F51,"NA")))</f>
        <v>3.6252674398449458E-3</v>
      </c>
      <c r="F51" s="24">
        <f>'Reformulated Balance Sheet'!B36/'Reformulated Income'!B3</f>
        <v>3.2655315830517288E-3</v>
      </c>
      <c r="G51" s="24">
        <f>'Reformulated Balance Sheet'!C36/'Reformulated Income'!C3</f>
        <v>3.0929313205382931E-3</v>
      </c>
      <c r="H51" s="24">
        <f>'Reformulated Balance Sheet'!D36/'Reformulated Income'!D3</f>
        <v>3.9694423029136856E-3</v>
      </c>
      <c r="I51" s="24">
        <f>'Reformulated Balance Sheet'!E36/'Reformulated Income'!E3</f>
        <v>4.111416337245777E-3</v>
      </c>
      <c r="J51" s="24">
        <f>'Reformulated Balance Sheet'!F36/'Reformulated Income'!F3</f>
        <v>3.6870156554752445E-3</v>
      </c>
    </row>
    <row r="52" spans="1:10">
      <c r="A52" s="25" t="s">
        <v>4</v>
      </c>
      <c r="B52" t="s">
        <v>230</v>
      </c>
      <c r="C52" t="s">
        <v>241</v>
      </c>
      <c r="D52" s="22">
        <v>0.01</v>
      </c>
      <c r="E52" s="8">
        <f t="shared" si="6"/>
        <v>2.1327158434969956E-3</v>
      </c>
      <c r="F52" s="24">
        <f>'Reformulated Balance Sheet'!B37/'Reformulated Income'!B3</f>
        <v>1.5515336625942292E-3</v>
      </c>
      <c r="G52" s="24">
        <f>'Reformulated Balance Sheet'!C37/'Reformulated Income'!C3</f>
        <v>2.56037360971713E-3</v>
      </c>
      <c r="H52" s="24">
        <f>'Reformulated Balance Sheet'!D37/'Reformulated Income'!D3</f>
        <v>2.3893111775162633E-3</v>
      </c>
      <c r="I52" s="24">
        <f>'Reformulated Balance Sheet'!E37/'Reformulated Income'!E3</f>
        <v>2.2536652515273152E-3</v>
      </c>
      <c r="J52" s="24">
        <f>'Reformulated Balance Sheet'!F37/'Reformulated Income'!F3</f>
        <v>1.9086955161300417E-3</v>
      </c>
    </row>
    <row r="53" spans="1:10">
      <c r="A53" s="25" t="s">
        <v>167</v>
      </c>
      <c r="B53" t="s">
        <v>230</v>
      </c>
      <c r="C53" t="s">
        <v>241</v>
      </c>
      <c r="D53" s="22">
        <v>0.01</v>
      </c>
      <c r="E53" s="8">
        <f t="shared" si="6"/>
        <v>0</v>
      </c>
      <c r="F53" s="24">
        <f>'Reformulated Balance Sheet'!B38/'Reformulated Income'!$B3</f>
        <v>0</v>
      </c>
      <c r="G53" s="24">
        <f>'Reformulated Balance Sheet'!C38/'Reformulated Income'!$B3</f>
        <v>0</v>
      </c>
      <c r="H53" s="24">
        <f>'Reformulated Balance Sheet'!D38/'Reformulated Income'!$B3</f>
        <v>0</v>
      </c>
      <c r="I53" s="24">
        <f>'Reformulated Balance Sheet'!E38/'Reformulated Income'!$B3</f>
        <v>0</v>
      </c>
      <c r="J53" s="24">
        <f>'Reformulated Balance Sheet'!F38/'Reformulated Income'!$B3</f>
        <v>0</v>
      </c>
    </row>
    <row r="54" spans="1:10">
      <c r="A54" s="25" t="s">
        <v>6</v>
      </c>
      <c r="B54" t="s">
        <v>230</v>
      </c>
      <c r="C54" t="s">
        <v>241</v>
      </c>
      <c r="D54" s="22">
        <v>0.6</v>
      </c>
      <c r="E54" s="8">
        <f t="shared" si="6"/>
        <v>0.56377769270332245</v>
      </c>
      <c r="F54" s="24">
        <f>'Reformulated Balance Sheet'!B39/'Reformulated Income'!B3</f>
        <v>0.68996133350662858</v>
      </c>
      <c r="G54" s="24">
        <f>'Reformulated Balance Sheet'!C39/'Reformulated Income'!C3</f>
        <v>0.60814676744297191</v>
      </c>
      <c r="H54" s="24">
        <f>'Reformulated Balance Sheet'!D39/'Reformulated Income'!D3</f>
        <v>0.53361920114177219</v>
      </c>
      <c r="I54" s="24">
        <f>'Reformulated Balance Sheet'!E39/'Reformulated Income'!E3</f>
        <v>0.52420862849241978</v>
      </c>
      <c r="J54" s="24">
        <f>'Reformulated Balance Sheet'!F39/'Reformulated Income'!F3</f>
        <v>0.46295253293282018</v>
      </c>
    </row>
    <row r="55" spans="1:10">
      <c r="A55" s="26" t="s">
        <v>168</v>
      </c>
    </row>
    <row r="56" spans="1:10">
      <c r="A56" s="25"/>
    </row>
    <row r="57" spans="1:10">
      <c r="A57" s="28" t="s">
        <v>169</v>
      </c>
      <c r="B57" t="s">
        <v>230</v>
      </c>
      <c r="C57" t="s">
        <v>241</v>
      </c>
      <c r="D57" s="22"/>
      <c r="E57" s="8">
        <f t="shared" ref="E57:E60" si="7">IF(C57="AVERAGE",AVERAGE(F57:J57),IF(C57="MANUAL",D57,IF(C57="LATEST",F57,"NA")))</f>
        <v>1.2711967117234209</v>
      </c>
      <c r="F57" s="24">
        <f>'Reformulated Income'!B3/'Reformulated Income'!$B3</f>
        <v>1</v>
      </c>
      <c r="G57" s="24">
        <f>'Reformulated Income'!C3/'Reformulated Income'!$B3</f>
        <v>1.1897501299714064</v>
      </c>
      <c r="H57" s="24">
        <f>'Reformulated Income'!D3/'Reformulated Income'!$B3</f>
        <v>1.2749301403691189</v>
      </c>
      <c r="I57" s="24">
        <f>'Reformulated Income'!E3/'Reformulated Income'!$B3</f>
        <v>1.3336447231609045</v>
      </c>
      <c r="J57" s="24">
        <f>'Reformulated Income'!F3/'Reformulated Income'!$B3</f>
        <v>1.5576585651156745</v>
      </c>
    </row>
    <row r="58" spans="1:10">
      <c r="A58" s="28" t="s">
        <v>170</v>
      </c>
      <c r="B58" t="s">
        <v>230</v>
      </c>
      <c r="C58" t="s">
        <v>241</v>
      </c>
      <c r="D58" s="22"/>
      <c r="E58" s="8">
        <f t="shared" si="7"/>
        <v>1.5434104497010659E-2</v>
      </c>
      <c r="F58" s="24">
        <f>'Reformulated Income'!B4/'Reformulated Income'!$B$3</f>
        <v>2.1932674811541462E-2</v>
      </c>
      <c r="G58" s="24">
        <f>'Reformulated Income'!C4/'Reformulated Income'!$B$3</f>
        <v>1.8439693267481155E-2</v>
      </c>
      <c r="H58" s="24">
        <f>'Reformulated Income'!D4/'Reformulated Income'!$B$3</f>
        <v>1.5474720561476476E-2</v>
      </c>
      <c r="I58" s="24">
        <f>'Reformulated Income'!E4/'Reformulated Income'!$B$3</f>
        <v>1.1876137249805043E-2</v>
      </c>
      <c r="J58" s="24">
        <f>'Reformulated Income'!F4/'Reformulated Income'!$B$3</f>
        <v>9.4472965947491553E-3</v>
      </c>
    </row>
    <row r="59" spans="1:10">
      <c r="A59" s="28" t="s">
        <v>171</v>
      </c>
      <c r="B59" t="s">
        <v>230</v>
      </c>
      <c r="C59" t="s">
        <v>241</v>
      </c>
      <c r="D59" s="22"/>
      <c r="E59" s="8">
        <f t="shared" si="7"/>
        <v>0.98709214874480833</v>
      </c>
      <c r="F59" s="24">
        <f>'Reformulated Income'!B5/'Reformulated Income'!B3</f>
        <v>0.97806732518845851</v>
      </c>
      <c r="G59" s="24">
        <f>'Reformulated Income'!C5/'Reformulated Income'!C3</f>
        <v>0.98450120508251227</v>
      </c>
      <c r="H59" s="24">
        <f>'Reformulated Income'!D5/'Reformulated Income'!D3</f>
        <v>0.98786229921821733</v>
      </c>
      <c r="I59" s="24">
        <f>'Reformulated Income'!E5/'Reformulated Income'!E3</f>
        <v>0.99109497676288394</v>
      </c>
      <c r="J59" s="24">
        <f>'Reformulated Income'!F5/'Reformulated Income'!F3</f>
        <v>0.99393493747196926</v>
      </c>
    </row>
    <row r="60" spans="1:10">
      <c r="A60" s="26" t="s">
        <v>172</v>
      </c>
      <c r="B60" t="s">
        <v>230</v>
      </c>
      <c r="C60" t="s">
        <v>228</v>
      </c>
      <c r="D60" s="22"/>
      <c r="E60" s="8">
        <f t="shared" si="7"/>
        <v>0</v>
      </c>
      <c r="F60" s="24">
        <f>'Reformulated Income'!B6/'Reformulated Income'!B3</f>
        <v>0</v>
      </c>
      <c r="G60" s="24">
        <f>'Reformulated Income'!C6/'Reformulated Income'!C3</f>
        <v>0</v>
      </c>
      <c r="H60" s="24">
        <f>'Reformulated Income'!D6/'Reformulated Income'!D3</f>
        <v>0</v>
      </c>
      <c r="I60" s="24">
        <f>'Reformulated Income'!E6/'Reformulated Income'!E3</f>
        <v>0</v>
      </c>
      <c r="J60" s="24">
        <f>'Reformulated Income'!F6/'Reformulated Income'!F3</f>
        <v>0</v>
      </c>
    </row>
  </sheetData>
  <mergeCells count="1">
    <mergeCell ref="A1:J1"/>
  </mergeCells>
  <dataValidations count="2">
    <dataValidation type="list" allowBlank="1" showInputMessage="1" showErrorMessage="1" sqref="C4:C14 C57:C60 C18:C25 C38:C42 C45:C47 C50:C54 C29:C35" xr:uid="{FD3ABBDB-10CA-9B46-BDCA-2098C24D5E88}">
      <formula1>"MANUAL, AVERAGE, LATEST"</formula1>
    </dataValidation>
    <dataValidation type="list" allowBlank="1" showInputMessage="1" showErrorMessage="1" sqref="C3" xr:uid="{3662C29E-7249-544E-8F61-0AB8EDC9A507}">
      <formula1>"INDUSTRY, MANUAL, AVERAGE, LATEST"</formula1>
    </dataValidation>
  </dataValidation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D7289E-CC84-654F-9A17-DDFA74465795}">
  <dimension ref="A1:K32"/>
  <sheetViews>
    <sheetView workbookViewId="0">
      <selection activeCell="F26" sqref="F26"/>
    </sheetView>
  </sheetViews>
  <sheetFormatPr baseColWidth="10" defaultRowHeight="16"/>
  <cols>
    <col min="1" max="1" width="34.83203125" bestFit="1" customWidth="1"/>
  </cols>
  <sheetData>
    <row r="1" spans="1:11">
      <c r="A1" s="29" t="s">
        <v>269</v>
      </c>
      <c r="C1" s="2" t="s">
        <v>1</v>
      </c>
    </row>
    <row r="2" spans="1:11">
      <c r="A2" s="26" t="s">
        <v>154</v>
      </c>
      <c r="B2" s="13">
        <v>2018</v>
      </c>
      <c r="C2" s="13">
        <f>B2+1</f>
        <v>2019</v>
      </c>
      <c r="D2" s="13">
        <f t="shared" ref="D2:K2" si="0">C2+1</f>
        <v>2020</v>
      </c>
      <c r="E2" s="13">
        <f t="shared" si="0"/>
        <v>2021</v>
      </c>
      <c r="F2" s="13">
        <f t="shared" si="0"/>
        <v>2022</v>
      </c>
      <c r="G2" s="17">
        <f t="shared" si="0"/>
        <v>2023</v>
      </c>
      <c r="H2" s="17">
        <f t="shared" si="0"/>
        <v>2024</v>
      </c>
      <c r="I2" s="17">
        <f t="shared" si="0"/>
        <v>2025</v>
      </c>
      <c r="J2" s="17">
        <f t="shared" si="0"/>
        <v>2026</v>
      </c>
      <c r="K2" s="17">
        <f t="shared" si="0"/>
        <v>2027</v>
      </c>
    </row>
    <row r="3" spans="1:11">
      <c r="A3" s="12" t="str">
        <f>'Reformulated Balance Sheet'!A27</f>
        <v>Current Investments</v>
      </c>
      <c r="B3" s="12">
        <f>'Reformulated Balance Sheet'!B27</f>
        <v>35707</v>
      </c>
      <c r="C3" s="12">
        <f>'Reformulated Balance Sheet'!C27</f>
        <v>29091</v>
      </c>
      <c r="D3" s="12">
        <f>'Reformulated Balance Sheet'!D27</f>
        <v>26140</v>
      </c>
      <c r="E3" s="12">
        <f>'Reformulated Balance Sheet'!E27</f>
        <v>29160</v>
      </c>
      <c r="F3" s="12">
        <f>'Reformulated Balance Sheet'!F27</f>
        <v>30262</v>
      </c>
      <c r="G3" s="12">
        <f>'Reformulated Balance Sheet'!G27</f>
        <v>36257.8705573525</v>
      </c>
      <c r="H3" s="12">
        <f>'Reformulated Balance Sheet'!H27</f>
        <v>43441.714934694646</v>
      </c>
      <c r="I3" s="12">
        <f>'Reformulated Balance Sheet'!I27</f>
        <v>52048.908759882543</v>
      </c>
      <c r="J3" s="12">
        <f>'Reformulated Balance Sheet'!J27</f>
        <v>62361.463104463422</v>
      </c>
      <c r="K3" s="12">
        <f>'Reformulated Balance Sheet'!K27</f>
        <v>74717.264457363985</v>
      </c>
    </row>
    <row r="4" spans="1:11">
      <c r="A4" s="12" t="str">
        <f>'Reformulated Balance Sheet'!A5</f>
        <v>Inventories</v>
      </c>
      <c r="B4" s="12">
        <f>'Reformulated Balance Sheet'!B5</f>
        <v>1771</v>
      </c>
      <c r="C4" s="12">
        <f>'Reformulated Balance Sheet'!C5</f>
        <v>1710</v>
      </c>
      <c r="D4" s="12">
        <f>'Reformulated Balance Sheet'!D5</f>
        <v>1715</v>
      </c>
      <c r="E4" s="12">
        <f>'Reformulated Balance Sheet'!E5</f>
        <v>1806</v>
      </c>
      <c r="F4" s="12">
        <f>'Reformulated Balance Sheet'!F5</f>
        <v>1807</v>
      </c>
      <c r="G4" s="12">
        <f>'Reformulated Balance Sheet'!G5</f>
        <v>1827.7488721521011</v>
      </c>
      <c r="H4" s="12">
        <f>'Reformulated Balance Sheet'!H5</f>
        <v>1848.7359931672813</v>
      </c>
      <c r="I4" s="12">
        <f>'Reformulated Balance Sheet'!I5</f>
        <v>1869.9640987374059</v>
      </c>
      <c r="J4" s="12">
        <f>'Reformulated Balance Sheet'!J5</f>
        <v>1891.435955966914</v>
      </c>
      <c r="K4" s="12">
        <f>'Reformulated Balance Sheet'!K5</f>
        <v>1913.154363733513</v>
      </c>
    </row>
    <row r="5" spans="1:11">
      <c r="A5" s="12" t="str">
        <f>'Reformulated Balance Sheet'!A6</f>
        <v>Trade Receivables</v>
      </c>
      <c r="B5" s="12">
        <f>'Reformulated Balance Sheet'!B6</f>
        <v>24943</v>
      </c>
      <c r="C5" s="12">
        <f>'Reformulated Balance Sheet'!C6</f>
        <v>27346</v>
      </c>
      <c r="D5" s="12">
        <f>'Reformulated Balance Sheet'!D6</f>
        <v>30532</v>
      </c>
      <c r="E5" s="12">
        <f>'Reformulated Balance Sheet'!E6</f>
        <v>30079</v>
      </c>
      <c r="F5" s="12">
        <f>'Reformulated Balance Sheet'!F6</f>
        <v>34074</v>
      </c>
      <c r="G5" s="12">
        <f>'Reformulated Balance Sheet'!G6</f>
        <v>40512.407197022716</v>
      </c>
      <c r="H5" s="12">
        <f>'Reformulated Balance Sheet'!H6</f>
        <v>48167.375033673117</v>
      </c>
      <c r="I5" s="12">
        <f>'Reformulated Balance Sheet'!I6</f>
        <v>57268.777102068176</v>
      </c>
      <c r="J5" s="12">
        <f>'Reformulated Balance Sheet'!J6</f>
        <v>68089.922452148749</v>
      </c>
      <c r="K5" s="12">
        <f>'Reformulated Balance Sheet'!K6</f>
        <v>80955.762880646522</v>
      </c>
    </row>
    <row r="6" spans="1:11">
      <c r="A6" s="12" t="str">
        <f>'Reformulated Balance Sheet'!A7</f>
        <v>Cash And Cash Equivalents</v>
      </c>
      <c r="B6" s="12">
        <f>'Reformulated Balance Sheet'!B7</f>
        <v>7161</v>
      </c>
      <c r="C6" s="12">
        <f>'Reformulated Balance Sheet'!C7</f>
        <v>12848</v>
      </c>
      <c r="D6" s="12">
        <f>'Reformulated Balance Sheet'!D7</f>
        <v>9666</v>
      </c>
      <c r="E6" s="12">
        <f>'Reformulated Balance Sheet'!E7</f>
        <v>9329</v>
      </c>
      <c r="F6" s="12">
        <f>'Reformulated Balance Sheet'!F7</f>
        <v>18221</v>
      </c>
      <c r="G6" s="12">
        <f>'Reformulated Balance Sheet'!G7</f>
        <v>19530.45083497696</v>
      </c>
      <c r="H6" s="12">
        <f>'Reformulated Balance Sheet'!H7</f>
        <v>20934.005258627531</v>
      </c>
      <c r="I6" s="12">
        <f>'Reformulated Balance Sheet'!I7</f>
        <v>22438.426018482747</v>
      </c>
      <c r="J6" s="12">
        <f>'Reformulated Balance Sheet'!J7</f>
        <v>24050.96186643132</v>
      </c>
      <c r="K6" s="12">
        <f>'Reformulated Balance Sheet'!K7</f>
        <v>25779.382485387334</v>
      </c>
    </row>
    <row r="7" spans="1:11">
      <c r="A7" s="12" t="str">
        <f>'Reformulated Balance Sheet'!A8</f>
        <v>Short Term Loans And Advances</v>
      </c>
      <c r="B7" s="12">
        <f>'Reformulated Balance Sheet'!B8</f>
        <v>3205</v>
      </c>
      <c r="C7" s="12">
        <f>'Reformulated Balance Sheet'!C8</f>
        <v>8029</v>
      </c>
      <c r="D7" s="12">
        <f>'Reformulated Balance Sheet'!D8</f>
        <v>8475</v>
      </c>
      <c r="E7" s="12">
        <f>'Reformulated Balance Sheet'!E8</f>
        <v>11472</v>
      </c>
      <c r="F7" s="12">
        <f>'Reformulated Balance Sheet'!F8</f>
        <v>6445</v>
      </c>
      <c r="G7" s="12">
        <f>'Reformulated Balance Sheet'!G8</f>
        <v>6752.2192452232148</v>
      </c>
      <c r="H7" s="12">
        <f>'Reformulated Balance Sheet'!H8</f>
        <v>7074.0829690555101</v>
      </c>
      <c r="I7" s="12">
        <f>'Reformulated Balance Sheet'!I8</f>
        <v>7411.2892421974238</v>
      </c>
      <c r="J7" s="12">
        <f>'Reformulated Balance Sheet'!J8</f>
        <v>7764.5694108737353</v>
      </c>
      <c r="K7" s="12">
        <f>'Reformulated Balance Sheet'!K8</f>
        <v>8134.689683005914</v>
      </c>
    </row>
    <row r="8" spans="1:11">
      <c r="A8" s="12" t="str">
        <f>'Reformulated Balance Sheet'!A9</f>
        <v>OtherCurrentAssets</v>
      </c>
      <c r="B8" s="12">
        <f>'Reformulated Balance Sheet'!B9</f>
        <v>10182</v>
      </c>
      <c r="C8" s="12">
        <f>'Reformulated Balance Sheet'!C9</f>
        <v>14807</v>
      </c>
      <c r="D8" s="12">
        <f>'Reformulated Balance Sheet'!D9</f>
        <v>15419</v>
      </c>
      <c r="E8" s="12">
        <f>'Reformulated Balance Sheet'!E9</f>
        <v>19232</v>
      </c>
      <c r="F8" s="12">
        <f>'Reformulated Balance Sheet'!F9</f>
        <v>19288</v>
      </c>
      <c r="G8" s="12">
        <f>'Reformulated Balance Sheet'!G9</f>
        <v>21215.94723554108</v>
      </c>
      <c r="H8" s="12">
        <f>'Reformulated Balance Sheet'!H9</f>
        <v>23336.603955892951</v>
      </c>
      <c r="I8" s="12">
        <f>'Reformulated Balance Sheet'!I9</f>
        <v>25669.232589430947</v>
      </c>
      <c r="J8" s="12">
        <f>'Reformulated Balance Sheet'!J9</f>
        <v>28235.02095573406</v>
      </c>
      <c r="K8" s="12">
        <f>'Reformulated Balance Sheet'!K9</f>
        <v>31057.27471957956</v>
      </c>
    </row>
    <row r="9" spans="1:11">
      <c r="A9" s="64" t="s">
        <v>252</v>
      </c>
      <c r="B9" s="100">
        <f>SUM(B3:B8)</f>
        <v>82969</v>
      </c>
      <c r="C9" s="100">
        <f t="shared" ref="C9:K9" si="1">SUM(C3:C8)</f>
        <v>93831</v>
      </c>
      <c r="D9" s="100">
        <f t="shared" si="1"/>
        <v>91947</v>
      </c>
      <c r="E9" s="100">
        <f t="shared" si="1"/>
        <v>101078</v>
      </c>
      <c r="F9" s="100">
        <f t="shared" si="1"/>
        <v>110097</v>
      </c>
      <c r="G9" s="17">
        <f t="shared" si="1"/>
        <v>126096.64394226857</v>
      </c>
      <c r="H9" s="17">
        <f t="shared" si="1"/>
        <v>144802.51814511104</v>
      </c>
      <c r="I9" s="17">
        <f t="shared" si="1"/>
        <v>166706.59781079926</v>
      </c>
      <c r="J9" s="17">
        <f t="shared" si="1"/>
        <v>192393.37374561821</v>
      </c>
      <c r="K9" s="17">
        <f t="shared" si="1"/>
        <v>222557.52858971682</v>
      </c>
    </row>
    <row r="11" spans="1:11">
      <c r="A11" s="12" t="str">
        <f>'Reformulated Balance Sheet'!A32</f>
        <v>Short Term Borrowings</v>
      </c>
      <c r="B11" s="12">
        <f>'Reformulated Balance Sheet'!B32</f>
        <v>181</v>
      </c>
      <c r="C11" s="12">
        <f>'Reformulated Balance Sheet'!C32</f>
        <v>0</v>
      </c>
      <c r="D11" s="12">
        <f>'Reformulated Balance Sheet'!D32</f>
        <v>0</v>
      </c>
      <c r="E11" s="12">
        <f>'Reformulated Balance Sheet'!E32</f>
        <v>0</v>
      </c>
      <c r="F11" s="12">
        <f>'Reformulated Balance Sheet'!F32</f>
        <v>0</v>
      </c>
      <c r="G11" s="12">
        <f>'Reformulated Balance Sheet'!G32</f>
        <v>0</v>
      </c>
      <c r="H11" s="12">
        <f>'Reformulated Balance Sheet'!H32</f>
        <v>0</v>
      </c>
      <c r="I11" s="12">
        <f>'Reformulated Balance Sheet'!I32</f>
        <v>0</v>
      </c>
      <c r="J11" s="12">
        <f>'Reformulated Balance Sheet'!J32</f>
        <v>0</v>
      </c>
      <c r="K11" s="12">
        <f>'Reformulated Balance Sheet'!K32</f>
        <v>0</v>
      </c>
    </row>
    <row r="12" spans="1:11">
      <c r="A12" s="12" t="str">
        <f>'Reformulated Balance Sheet'!A17</f>
        <v>Trade Payables</v>
      </c>
      <c r="B12" s="12">
        <f>'Reformulated Balance Sheet'!B17</f>
        <v>5094</v>
      </c>
      <c r="C12" s="12">
        <f>'Reformulated Balance Sheet'!C17</f>
        <v>6292</v>
      </c>
      <c r="D12" s="12">
        <f>'Reformulated Balance Sheet'!D17</f>
        <v>6740</v>
      </c>
      <c r="E12" s="12">
        <f>'Reformulated Balance Sheet'!E17</f>
        <v>7860</v>
      </c>
      <c r="F12" s="12">
        <f>'Reformulated Balance Sheet'!F17</f>
        <v>8045</v>
      </c>
      <c r="G12" s="12">
        <f>'Reformulated Balance Sheet'!G17</f>
        <v>8394.3350477697131</v>
      </c>
      <c r="H12" s="12">
        <f>'Reformulated Balance Sheet'!H17</f>
        <v>8758.8391416053382</v>
      </c>
      <c r="I12" s="12">
        <f>'Reformulated Balance Sheet'!I17</f>
        <v>9139.1709613617004</v>
      </c>
      <c r="J12" s="12">
        <f>'Reformulated Balance Sheet'!J17</f>
        <v>9536.0177885043813</v>
      </c>
      <c r="K12" s="12">
        <f>'Reformulated Balance Sheet'!K17</f>
        <v>9950.0967480668442</v>
      </c>
    </row>
    <row r="13" spans="1:11">
      <c r="A13" s="12" t="str">
        <f>'Reformulated Balance Sheet'!A18</f>
        <v>Other Current Liabilities</v>
      </c>
      <c r="B13" s="12">
        <f>'Reformulated Balance Sheet'!B18</f>
        <v>12313</v>
      </c>
      <c r="C13" s="12">
        <f>'Reformulated Balance Sheet'!C18</f>
        <v>15553</v>
      </c>
      <c r="D13" s="12">
        <f>'Reformulated Balance Sheet'!D18</f>
        <v>20027</v>
      </c>
      <c r="E13" s="12">
        <f>'Reformulated Balance Sheet'!E18</f>
        <v>24901</v>
      </c>
      <c r="F13" s="12">
        <f>'Reformulated Balance Sheet'!F18</f>
        <v>32895</v>
      </c>
      <c r="G13" s="12">
        <f>'Reformulated Balance Sheet'!G18</f>
        <v>37217.622175649871</v>
      </c>
      <c r="H13" s="12">
        <f>'Reformulated Balance Sheet'!H18</f>
        <v>42108.265706320868</v>
      </c>
      <c r="I13" s="12">
        <f>'Reformulated Balance Sheet'!I18</f>
        <v>47641.57238272456</v>
      </c>
      <c r="J13" s="12">
        <f>'Reformulated Balance Sheet'!J18</f>
        <v>53901.992424201795</v>
      </c>
      <c r="K13" s="12">
        <f>'Reformulated Balance Sheet'!K18</f>
        <v>60985.07337159702</v>
      </c>
    </row>
    <row r="14" spans="1:11">
      <c r="A14" s="12" t="str">
        <f>'Reformulated Balance Sheet'!A19</f>
        <v>Short Term Provisions</v>
      </c>
      <c r="B14" s="12">
        <f>'Reformulated Balance Sheet'!B19</f>
        <v>240</v>
      </c>
      <c r="C14" s="12">
        <f>'Reformulated Balance Sheet'!C19</f>
        <v>239</v>
      </c>
      <c r="D14" s="12">
        <f>'Reformulated Balance Sheet'!D19</f>
        <v>293</v>
      </c>
      <c r="E14" s="12">
        <f>'Reformulated Balance Sheet'!E19</f>
        <v>1394</v>
      </c>
      <c r="F14" s="12">
        <f>'Reformulated Balance Sheet'!F19</f>
        <v>1411</v>
      </c>
      <c r="G14" s="12">
        <f>'Reformulated Balance Sheet'!G19</f>
        <v>1417.0101413449261</v>
      </c>
      <c r="H14" s="12">
        <f>'Reformulated Balance Sheet'!H19</f>
        <v>1423.045882830877</v>
      </c>
      <c r="I14" s="12">
        <f>'Reformulated Balance Sheet'!I19</f>
        <v>1429.1073335014146</v>
      </c>
      <c r="J14" s="12">
        <f>'Reformulated Balance Sheet'!J19</f>
        <v>1435.1946028645712</v>
      </c>
      <c r="K14" s="12">
        <f>'Reformulated Balance Sheet'!K19</f>
        <v>1441.3078008948271</v>
      </c>
    </row>
    <row r="15" spans="1:11">
      <c r="A15" s="64" t="s">
        <v>270</v>
      </c>
      <c r="B15" s="100">
        <f>SUM(B11:B14)</f>
        <v>17828</v>
      </c>
      <c r="C15" s="100">
        <f>SUM(C11:C14)</f>
        <v>22084</v>
      </c>
      <c r="D15" s="100">
        <f>SUM(D11:D14)</f>
        <v>27060</v>
      </c>
      <c r="E15" s="100">
        <f>SUM(E11:E14)</f>
        <v>34155</v>
      </c>
      <c r="F15" s="100">
        <f>SUM(F11:F14)</f>
        <v>42351</v>
      </c>
      <c r="G15" s="101">
        <f>SUM(G11:G14)</f>
        <v>47028.967364764503</v>
      </c>
      <c r="H15" s="101">
        <f>SUM(H11:H14)</f>
        <v>52290.150730757086</v>
      </c>
      <c r="I15" s="101">
        <f>SUM(I11:I14)</f>
        <v>58209.850677587674</v>
      </c>
      <c r="J15" s="101">
        <f>SUM(J11:J14)</f>
        <v>64873.204815570745</v>
      </c>
      <c r="K15" s="101">
        <f>SUM(K11:K14)</f>
        <v>72376.477920558682</v>
      </c>
    </row>
    <row r="17" spans="1:11">
      <c r="A17" s="66" t="s">
        <v>269</v>
      </c>
      <c r="B17" s="100">
        <f>B9-B15</f>
        <v>65141</v>
      </c>
      <c r="C17" s="100">
        <f t="shared" ref="C17:K17" si="2">C9-C15</f>
        <v>71747</v>
      </c>
      <c r="D17" s="100">
        <f t="shared" si="2"/>
        <v>64887</v>
      </c>
      <c r="E17" s="100">
        <f t="shared" si="2"/>
        <v>66923</v>
      </c>
      <c r="F17" s="100">
        <f t="shared" si="2"/>
        <v>67746</v>
      </c>
      <c r="G17" s="101">
        <f t="shared" si="2"/>
        <v>79067.676577504055</v>
      </c>
      <c r="H17" s="101">
        <f t="shared" si="2"/>
        <v>92512.367414353954</v>
      </c>
      <c r="I17" s="101">
        <f t="shared" si="2"/>
        <v>108496.74713321158</v>
      </c>
      <c r="J17" s="101">
        <f t="shared" si="2"/>
        <v>127520.16893004747</v>
      </c>
      <c r="K17" s="101">
        <f t="shared" si="2"/>
        <v>150181.05066915814</v>
      </c>
    </row>
    <row r="19" spans="1:11">
      <c r="A19" s="59" t="s">
        <v>254</v>
      </c>
    </row>
    <row r="20" spans="1:11">
      <c r="A20" s="26" t="s">
        <v>154</v>
      </c>
      <c r="B20" s="13">
        <v>2018</v>
      </c>
      <c r="C20" s="13">
        <f>B20+1</f>
        <v>2019</v>
      </c>
      <c r="D20" s="13">
        <f t="shared" ref="D20" si="3">C20+1</f>
        <v>2020</v>
      </c>
      <c r="E20" s="13">
        <f t="shared" ref="E20" si="4">D20+1</f>
        <v>2021</v>
      </c>
      <c r="F20" s="13">
        <f t="shared" ref="F20" si="5">E20+1</f>
        <v>2022</v>
      </c>
      <c r="G20" s="17">
        <f t="shared" ref="G20" si="6">F20+1</f>
        <v>2023</v>
      </c>
      <c r="H20" s="17">
        <f t="shared" ref="H20" si="7">G20+1</f>
        <v>2024</v>
      </c>
      <c r="I20" s="17">
        <f t="shared" ref="I20" si="8">H20+1</f>
        <v>2025</v>
      </c>
      <c r="J20" s="17">
        <f t="shared" ref="J20" si="9">I20+1</f>
        <v>2026</v>
      </c>
      <c r="K20" s="17">
        <f t="shared" ref="K20" si="10">J20+1</f>
        <v>2027</v>
      </c>
    </row>
    <row r="21" spans="1:11">
      <c r="A21" s="61" t="s">
        <v>246</v>
      </c>
      <c r="B21" s="32">
        <f>'Reformulated Income'!B3</f>
        <v>123104</v>
      </c>
      <c r="C21" s="32">
        <f>'Reformulated Income'!C3</f>
        <v>146463</v>
      </c>
      <c r="D21" s="32">
        <f>'Reformulated Income'!D3</f>
        <v>156949</v>
      </c>
      <c r="E21" s="32">
        <f>'Reformulated Income'!E3</f>
        <v>164177</v>
      </c>
      <c r="F21" s="32">
        <f>'Reformulated Income'!F3</f>
        <v>191754</v>
      </c>
      <c r="G21" s="32">
        <f>'Reformulated Income'!G3</f>
        <v>211168.84860099794</v>
      </c>
      <c r="H21" s="32">
        <f>'Reformulated Income'!H3</f>
        <v>232549.42592838316</v>
      </c>
      <c r="I21" s="32">
        <f>'Reformulated Income'!I3</f>
        <v>256094.75951541937</v>
      </c>
      <c r="J21" s="32">
        <f>'Reformulated Income'!J3</f>
        <v>282024.02817996271</v>
      </c>
      <c r="K21" s="32">
        <f>'Reformulated Income'!K3</f>
        <v>310578.60231639561</v>
      </c>
    </row>
    <row r="22" spans="1:11">
      <c r="A22" s="61" t="s">
        <v>247</v>
      </c>
      <c r="B22" s="32">
        <f>'Reformulated Income'!B4</f>
        <v>2700</v>
      </c>
      <c r="C22" s="32">
        <f>'Reformulated Income'!C4</f>
        <v>2270</v>
      </c>
      <c r="D22" s="32">
        <f>'Reformulated Income'!D4</f>
        <v>1905</v>
      </c>
      <c r="E22" s="32">
        <f>'Reformulated Income'!E4</f>
        <v>1462</v>
      </c>
      <c r="F22" s="32">
        <f>'Reformulated Income'!F4</f>
        <v>1163</v>
      </c>
      <c r="G22" s="32">
        <f>'Reformulated Income'!G4</f>
        <v>1188.5077008058227</v>
      </c>
      <c r="H22" s="32">
        <f>'Reformulated Income'!H4</f>
        <v>1214.5748537186096</v>
      </c>
      <c r="I22" s="32">
        <f>'Reformulated Income'!I4</f>
        <v>1241.2137290194953</v>
      </c>
      <c r="J22" s="32">
        <f>'Reformulated Income'!J4</f>
        <v>1268.4368661097005</v>
      </c>
      <c r="K22" s="32">
        <f>'Reformulated Income'!K4</f>
        <v>1296.2570794130552</v>
      </c>
    </row>
    <row r="23" spans="1:11">
      <c r="A23" s="61"/>
    </row>
    <row r="24" spans="1:11">
      <c r="A24" s="61" t="s">
        <v>271</v>
      </c>
    </row>
    <row r="25" spans="1:11">
      <c r="A25" s="61" t="s">
        <v>272</v>
      </c>
    </row>
    <row r="26" spans="1:11">
      <c r="A26" s="61" t="s">
        <v>273</v>
      </c>
    </row>
    <row r="27" spans="1:11">
      <c r="A27" s="61"/>
    </row>
    <row r="28" spans="1:11">
      <c r="A28" s="61" t="s">
        <v>274</v>
      </c>
    </row>
    <row r="29" spans="1:11">
      <c r="A29" s="61" t="s">
        <v>275</v>
      </c>
    </row>
    <row r="30" spans="1:11">
      <c r="A30" s="61" t="s">
        <v>276</v>
      </c>
    </row>
    <row r="31" spans="1:11">
      <c r="A31" s="61" t="s">
        <v>277</v>
      </c>
    </row>
    <row r="32" spans="1:11">
      <c r="A32" s="61" t="s">
        <v>278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2ABE49-FF49-874D-870E-E8A250454AB4}">
  <dimension ref="A1:K33"/>
  <sheetViews>
    <sheetView workbookViewId="0">
      <selection activeCell="J23" sqref="J23"/>
    </sheetView>
  </sheetViews>
  <sheetFormatPr baseColWidth="10" defaultRowHeight="16"/>
  <cols>
    <col min="1" max="1" width="41.83203125" bestFit="1" customWidth="1"/>
  </cols>
  <sheetData>
    <row r="1" spans="1:11">
      <c r="A1" s="29" t="s">
        <v>260</v>
      </c>
      <c r="C1" s="2" t="s">
        <v>1</v>
      </c>
    </row>
    <row r="2" spans="1:11">
      <c r="A2" s="26" t="s">
        <v>154</v>
      </c>
      <c r="B2" s="13">
        <v>2018</v>
      </c>
      <c r="C2" s="13">
        <f>B2+1</f>
        <v>2019</v>
      </c>
      <c r="D2" s="13">
        <f t="shared" ref="D2:K2" si="0">C2+1</f>
        <v>2020</v>
      </c>
      <c r="E2" s="13">
        <f t="shared" si="0"/>
        <v>2021</v>
      </c>
      <c r="F2" s="13">
        <f t="shared" si="0"/>
        <v>2022</v>
      </c>
      <c r="G2" s="17">
        <f t="shared" si="0"/>
        <v>2023</v>
      </c>
      <c r="H2" s="17">
        <f t="shared" si="0"/>
        <v>2024</v>
      </c>
      <c r="I2" s="17">
        <f t="shared" si="0"/>
        <v>2025</v>
      </c>
      <c r="J2" s="17">
        <f t="shared" si="0"/>
        <v>2026</v>
      </c>
      <c r="K2" s="17">
        <f t="shared" si="0"/>
        <v>2027</v>
      </c>
    </row>
    <row r="3" spans="1:11">
      <c r="A3" s="27" t="s">
        <v>177</v>
      </c>
      <c r="B3" s="44">
        <f>'Consolidated Profit &amp; Loss acco'!B6</f>
        <v>123104</v>
      </c>
      <c r="C3" s="44">
        <f>'Consolidated Profit &amp; Loss acco'!C6</f>
        <v>146463</v>
      </c>
      <c r="D3" s="44">
        <f>'Consolidated Profit &amp; Loss acco'!D6</f>
        <v>156949</v>
      </c>
      <c r="E3" s="44">
        <f>'Consolidated Profit &amp; Loss acco'!E6</f>
        <v>164177</v>
      </c>
      <c r="F3" s="44">
        <f>'Consolidated Profit &amp; Loss acco'!F6</f>
        <v>191754</v>
      </c>
      <c r="G3" s="12">
        <f>F3*(1+'Assumption '!$E3)</f>
        <v>211168.84860099794</v>
      </c>
      <c r="H3" s="12">
        <f>G3*(1+'Assumption '!$E3)</f>
        <v>232549.42592838316</v>
      </c>
      <c r="I3" s="12">
        <f>H3*(1+'Assumption '!$E3)</f>
        <v>256094.75951541937</v>
      </c>
      <c r="J3" s="12">
        <f>I3*(1+'Assumption '!$E3)</f>
        <v>282024.02817996271</v>
      </c>
      <c r="K3" s="12">
        <f>J3*(1+'Assumption '!$E3)</f>
        <v>310578.60231639561</v>
      </c>
    </row>
    <row r="4" spans="1:11">
      <c r="A4" s="25" t="s">
        <v>178</v>
      </c>
      <c r="B4" s="44">
        <f>'Consolidated Profit &amp; Loss acco'!B10</f>
        <v>2700</v>
      </c>
      <c r="C4" s="44">
        <f>'Consolidated Profit &amp; Loss acco'!C10</f>
        <v>2270</v>
      </c>
      <c r="D4" s="44">
        <f>'Consolidated Profit &amp; Loss acco'!D10</f>
        <v>1905</v>
      </c>
      <c r="E4" s="44">
        <f>'Consolidated Profit &amp; Loss acco'!E10</f>
        <v>1462</v>
      </c>
      <c r="F4" s="44">
        <f>'Consolidated Profit &amp; Loss acco'!F10</f>
        <v>1163</v>
      </c>
      <c r="G4" s="12">
        <f>F4*(1+'Assumption '!$E4)</f>
        <v>1188.5077008058227</v>
      </c>
      <c r="H4" s="12">
        <f>G4*(1+'Assumption '!$E4)</f>
        <v>1214.5748537186096</v>
      </c>
      <c r="I4" s="12">
        <f>H4*(1+'Assumption '!$E4)</f>
        <v>1241.2137290194953</v>
      </c>
      <c r="J4" s="12">
        <f>I4*(1+'Assumption '!$E4)</f>
        <v>1268.4368661097005</v>
      </c>
      <c r="K4" s="12">
        <f>J4*(1+'Assumption '!$E4)</f>
        <v>1296.2570794130552</v>
      </c>
    </row>
    <row r="5" spans="1:11">
      <c r="A5" s="26" t="s">
        <v>179</v>
      </c>
      <c r="B5" s="45">
        <f>B3-B4</f>
        <v>120404</v>
      </c>
      <c r="C5" s="45">
        <f t="shared" ref="C5:K5" si="1">C3-C4</f>
        <v>144193</v>
      </c>
      <c r="D5" s="45">
        <f t="shared" si="1"/>
        <v>155044</v>
      </c>
      <c r="E5" s="45">
        <f t="shared" si="1"/>
        <v>162715</v>
      </c>
      <c r="F5" s="45">
        <f t="shared" si="1"/>
        <v>190591</v>
      </c>
      <c r="G5" s="17">
        <f t="shared" si="1"/>
        <v>209980.34090019212</v>
      </c>
      <c r="H5" s="17">
        <f t="shared" si="1"/>
        <v>231334.85107466456</v>
      </c>
      <c r="I5" s="17">
        <f t="shared" si="1"/>
        <v>254853.54578639986</v>
      </c>
      <c r="J5" s="17">
        <f t="shared" si="1"/>
        <v>280755.59131385299</v>
      </c>
      <c r="K5" s="17">
        <f t="shared" si="1"/>
        <v>309282.34523698257</v>
      </c>
    </row>
    <row r="6" spans="1:11">
      <c r="A6" s="27" t="s">
        <v>180</v>
      </c>
      <c r="B6" s="32"/>
      <c r="C6" s="32"/>
      <c r="D6" s="32"/>
      <c r="E6" s="32"/>
      <c r="F6" s="32"/>
      <c r="G6" s="12"/>
      <c r="H6" s="12"/>
      <c r="I6" s="12"/>
      <c r="J6" s="12"/>
      <c r="K6" s="12"/>
    </row>
    <row r="7" spans="1:11">
      <c r="A7" s="25" t="s">
        <v>63</v>
      </c>
      <c r="B7" s="44">
        <f>'Consolidated Profit &amp; Loss acco'!B11</f>
        <v>66396</v>
      </c>
      <c r="C7" s="44">
        <f>'Consolidated Profit &amp; Loss acco'!C11</f>
        <v>78246</v>
      </c>
      <c r="D7" s="44">
        <f>'Consolidated Profit &amp; Loss acco'!D11</f>
        <v>85952</v>
      </c>
      <c r="E7" s="44">
        <f>'Consolidated Profit &amp; Loss acco'!E11</f>
        <v>91814</v>
      </c>
      <c r="F7" s="44">
        <f>'Consolidated Profit &amp; Loss acco'!F11</f>
        <v>107554</v>
      </c>
      <c r="G7" s="12">
        <f>F7*(1+'Assumption '!$E5)</f>
        <v>129064.79999999999</v>
      </c>
      <c r="H7" s="12">
        <f>G7*(1+'Assumption '!$E5)</f>
        <v>154877.75999999998</v>
      </c>
      <c r="I7" s="12">
        <f>H7*(1+'Assumption '!$E5)</f>
        <v>185853.31199999998</v>
      </c>
      <c r="J7" s="12">
        <f>I7*(1+'Assumption '!$E5)</f>
        <v>223023.97439999998</v>
      </c>
      <c r="K7" s="12">
        <f>J7*(1+'Assumption '!$E5)</f>
        <v>267628.76927999995</v>
      </c>
    </row>
    <row r="8" spans="1:11">
      <c r="A8" s="25" t="s">
        <v>66</v>
      </c>
      <c r="B8" s="44">
        <f>'Consolidated Profit &amp; Loss acco'!B14</f>
        <v>21492</v>
      </c>
      <c r="C8" s="44">
        <f>'Consolidated Profit &amp; Loss acco'!C14</f>
        <v>26441</v>
      </c>
      <c r="D8" s="44">
        <f>'Consolidated Profit &amp; Loss acco'!D14</f>
        <v>26983</v>
      </c>
      <c r="E8" s="44">
        <f>'Consolidated Profit &amp; Loss acco'!E14</f>
        <v>24355</v>
      </c>
      <c r="F8" s="44">
        <f>'Consolidated Profit &amp; Loss acco'!F14</f>
        <v>29980</v>
      </c>
      <c r="G8" s="12">
        <f>F8*(1+'Assumption '!$E7)</f>
        <v>35214.031063166105</v>
      </c>
      <c r="H8" s="12">
        <f>G8*(1+'Assumption '!$E7)</f>
        <v>41361.840684377159</v>
      </c>
      <c r="I8" s="12">
        <f>H8*(1+'Assumption '!$E7)</f>
        <v>48582.960063021506</v>
      </c>
      <c r="J8" s="12">
        <f>I8*(1+'Assumption '!$E7)</f>
        <v>57064.772007998581</v>
      </c>
      <c r="K8" s="12">
        <f>J8*(1+'Assumption '!$E7)</f>
        <v>67027.373385662228</v>
      </c>
    </row>
    <row r="9" spans="1:11">
      <c r="A9" s="26" t="s">
        <v>248</v>
      </c>
      <c r="B9" s="62">
        <f>B5-B7-B8</f>
        <v>32516</v>
      </c>
      <c r="C9" s="62">
        <f t="shared" ref="C9:K9" si="2">C5-C7-C8</f>
        <v>39506</v>
      </c>
      <c r="D9" s="62">
        <f t="shared" si="2"/>
        <v>42109</v>
      </c>
      <c r="E9" s="62">
        <f t="shared" si="2"/>
        <v>46546</v>
      </c>
      <c r="F9" s="62">
        <f t="shared" si="2"/>
        <v>53057</v>
      </c>
      <c r="G9" s="17">
        <f t="shared" si="2"/>
        <v>45701.509837026031</v>
      </c>
      <c r="H9" s="17">
        <f t="shared" si="2"/>
        <v>35095.250390287423</v>
      </c>
      <c r="I9" s="17">
        <f t="shared" si="2"/>
        <v>20417.273723378377</v>
      </c>
      <c r="J9" s="17">
        <f t="shared" si="2"/>
        <v>666.84490585442836</v>
      </c>
      <c r="K9" s="17">
        <f t="shared" si="2"/>
        <v>-25373.797428679609</v>
      </c>
    </row>
    <row r="10" spans="1:11">
      <c r="A10" s="25" t="s">
        <v>65</v>
      </c>
      <c r="B10" s="44">
        <f>'Consolidated Profit &amp; Loss acco'!B13</f>
        <v>2014</v>
      </c>
      <c r="C10" s="44">
        <f>'Consolidated Profit &amp; Loss acco'!C13</f>
        <v>2056</v>
      </c>
      <c r="D10" s="44">
        <f>'Consolidated Profit &amp; Loss acco'!D13</f>
        <v>3529</v>
      </c>
      <c r="E10" s="44">
        <f>'Consolidated Profit &amp; Loss acco'!E13</f>
        <v>4065</v>
      </c>
      <c r="F10" s="44">
        <f>'Consolidated Profit &amp; Loss acco'!F13</f>
        <v>4604</v>
      </c>
      <c r="G10" s="12">
        <f>F10*(1+'Assumption '!$E6)</f>
        <v>4679.3221341304916</v>
      </c>
      <c r="H10" s="12">
        <f>G10*(1+'Assumption '!$E6)</f>
        <v>4755.876549731438</v>
      </c>
      <c r="I10" s="12">
        <f>H10*(1+'Assumption '!$E6)</f>
        <v>4833.6834071134826</v>
      </c>
      <c r="J10" s="12">
        <f>I10*(1+'Assumption '!$E6)</f>
        <v>4912.7631964129905</v>
      </c>
      <c r="K10" s="12">
        <f>J10*(1+'Assumption '!$E6)</f>
        <v>4993.1367429880474</v>
      </c>
    </row>
    <row r="11" spans="1:11">
      <c r="A11" s="62" t="s">
        <v>258</v>
      </c>
      <c r="B11" s="62">
        <f>B9-B10</f>
        <v>30502</v>
      </c>
      <c r="C11" s="62">
        <f t="shared" ref="C11:K11" si="3">C9-C10</f>
        <v>37450</v>
      </c>
      <c r="D11" s="62">
        <f t="shared" si="3"/>
        <v>38580</v>
      </c>
      <c r="E11" s="62">
        <f t="shared" si="3"/>
        <v>42481</v>
      </c>
      <c r="F11" s="62">
        <f t="shared" si="3"/>
        <v>48453</v>
      </c>
      <c r="G11" s="17">
        <f t="shared" si="3"/>
        <v>41022.187702895542</v>
      </c>
      <c r="H11" s="17">
        <f t="shared" si="3"/>
        <v>30339.373840555985</v>
      </c>
      <c r="I11" s="17">
        <f t="shared" si="3"/>
        <v>15583.590316264894</v>
      </c>
      <c r="J11" s="17">
        <f t="shared" si="3"/>
        <v>-4245.9182905585621</v>
      </c>
      <c r="K11" s="17">
        <f t="shared" si="3"/>
        <v>-30366.934171667657</v>
      </c>
    </row>
    <row r="12" spans="1:11">
      <c r="A12" s="27" t="s">
        <v>181</v>
      </c>
      <c r="B12" s="32"/>
      <c r="C12" s="32"/>
      <c r="D12" s="32"/>
      <c r="E12" s="32"/>
      <c r="F12" s="32"/>
      <c r="G12" s="12"/>
      <c r="H12" s="12"/>
      <c r="I12" s="12"/>
      <c r="J12" s="12"/>
      <c r="K12" s="12"/>
    </row>
    <row r="13" spans="1:11">
      <c r="A13" s="25" t="s">
        <v>182</v>
      </c>
      <c r="B13" s="44">
        <f>'Consolidated Profit &amp; Loss acco'!B22</f>
        <v>8212</v>
      </c>
      <c r="C13" s="44">
        <f>'Consolidated Profit &amp; Loss acco'!C22</f>
        <v>10001</v>
      </c>
      <c r="D13" s="44">
        <f>'Consolidated Profit &amp; Loss acco'!D22</f>
        <v>9801</v>
      </c>
      <c r="E13" s="44">
        <f>'Consolidated Profit &amp; Loss acco'!E22</f>
        <v>11198</v>
      </c>
      <c r="F13" s="44">
        <f>'Consolidated Profit &amp; Loss acco'!F22</f>
        <v>13238</v>
      </c>
      <c r="G13" s="12">
        <f>F13*(1+'Assumption '!$E8)</f>
        <v>16802.043538128648</v>
      </c>
      <c r="H13" s="12">
        <f>G13*(1+'Assumption '!$E8)</f>
        <v>21325.628271428512</v>
      </c>
      <c r="I13" s="12">
        <f>H13*(1+'Assumption '!$E8)</f>
        <v>27067.089794114596</v>
      </c>
      <c r="J13" s="12">
        <f>I13*(1+'Assumption '!$E8)</f>
        <v>34354.314939654854</v>
      </c>
      <c r="K13" s="12">
        <f>J13*(1+'Assumption '!$E8)</f>
        <v>43603.466939013771</v>
      </c>
    </row>
    <row r="14" spans="1:11">
      <c r="A14" s="25" t="s">
        <v>183</v>
      </c>
      <c r="B14" s="44">
        <f>B23*B30</f>
        <v>0</v>
      </c>
      <c r="C14" s="44">
        <f t="shared" ref="C14:K14" si="4">C23*C30</f>
        <v>0</v>
      </c>
      <c r="D14" s="44">
        <f t="shared" si="4"/>
        <v>0</v>
      </c>
      <c r="E14" s="44">
        <f t="shared" si="4"/>
        <v>0</v>
      </c>
      <c r="F14" s="44">
        <f t="shared" si="4"/>
        <v>0</v>
      </c>
      <c r="G14" s="10">
        <f t="shared" si="4"/>
        <v>0</v>
      </c>
      <c r="H14" s="10">
        <f t="shared" si="4"/>
        <v>0</v>
      </c>
      <c r="I14" s="10">
        <f t="shared" si="4"/>
        <v>0</v>
      </c>
      <c r="J14" s="10">
        <f t="shared" si="4"/>
        <v>0</v>
      </c>
      <c r="K14" s="10">
        <f t="shared" si="4"/>
        <v>0</v>
      </c>
    </row>
    <row r="15" spans="1:11">
      <c r="A15" s="25" t="s">
        <v>184</v>
      </c>
      <c r="B15" s="44">
        <f t="shared" ref="B15:K15" si="5">B22*B30</f>
        <v>0</v>
      </c>
      <c r="C15" s="44">
        <f t="shared" si="5"/>
        <v>0</v>
      </c>
      <c r="D15" s="44">
        <f t="shared" si="5"/>
        <v>0</v>
      </c>
      <c r="E15" s="44">
        <f t="shared" si="5"/>
        <v>0</v>
      </c>
      <c r="F15" s="44">
        <f t="shared" si="5"/>
        <v>0</v>
      </c>
      <c r="G15" s="10">
        <f t="shared" si="5"/>
        <v>0</v>
      </c>
      <c r="H15" s="10">
        <f t="shared" si="5"/>
        <v>0</v>
      </c>
      <c r="I15" s="10">
        <f t="shared" si="5"/>
        <v>0</v>
      </c>
      <c r="J15" s="10">
        <f t="shared" si="5"/>
        <v>0</v>
      </c>
      <c r="K15" s="10">
        <f t="shared" si="5"/>
        <v>0</v>
      </c>
    </row>
    <row r="16" spans="1:11">
      <c r="A16" s="33" t="s">
        <v>185</v>
      </c>
      <c r="B16" s="46">
        <f>B13+B14-B15</f>
        <v>8212</v>
      </c>
      <c r="C16" s="46">
        <f t="shared" ref="C16:K16" si="6">C13+C14-C15</f>
        <v>10001</v>
      </c>
      <c r="D16" s="46">
        <f t="shared" si="6"/>
        <v>9801</v>
      </c>
      <c r="E16" s="46">
        <f t="shared" si="6"/>
        <v>11198</v>
      </c>
      <c r="F16" s="46">
        <f t="shared" si="6"/>
        <v>13238</v>
      </c>
      <c r="G16" s="47">
        <f t="shared" si="6"/>
        <v>16802.043538128648</v>
      </c>
      <c r="H16" s="47">
        <f t="shared" si="6"/>
        <v>21325.628271428512</v>
      </c>
      <c r="I16" s="47">
        <f t="shared" si="6"/>
        <v>27067.089794114596</v>
      </c>
      <c r="J16" s="47">
        <f t="shared" si="6"/>
        <v>34354.314939654854</v>
      </c>
      <c r="K16" s="47">
        <f t="shared" si="6"/>
        <v>43603.466939013771</v>
      </c>
    </row>
    <row r="17" spans="1:11">
      <c r="A17" s="26" t="s">
        <v>259</v>
      </c>
      <c r="B17" s="62">
        <f>B11-B16</f>
        <v>22290</v>
      </c>
      <c r="C17" s="62">
        <f t="shared" ref="C17:K17" si="7">C11-C16</f>
        <v>27449</v>
      </c>
      <c r="D17" s="62">
        <f t="shared" si="7"/>
        <v>28779</v>
      </c>
      <c r="E17" s="62">
        <f t="shared" si="7"/>
        <v>31283</v>
      </c>
      <c r="F17" s="62">
        <f t="shared" si="7"/>
        <v>35215</v>
      </c>
      <c r="G17" s="17">
        <f t="shared" si="7"/>
        <v>24220.144164766894</v>
      </c>
      <c r="H17" s="17">
        <f t="shared" si="7"/>
        <v>9013.7455691274736</v>
      </c>
      <c r="I17" s="17">
        <f t="shared" si="7"/>
        <v>-11483.499477849702</v>
      </c>
      <c r="J17" s="17">
        <f t="shared" si="7"/>
        <v>-38600.233230213416</v>
      </c>
      <c r="K17" s="17">
        <f t="shared" si="7"/>
        <v>-73970.401110681429</v>
      </c>
    </row>
    <row r="18" spans="1:11">
      <c r="A18" t="s">
        <v>249</v>
      </c>
      <c r="B18" s="32">
        <f>'Reformulated Income'!B10</f>
        <v>2014</v>
      </c>
      <c r="C18" s="32">
        <f>'Reformulated Income'!C10</f>
        <v>2056</v>
      </c>
      <c r="D18" s="32">
        <f>'Reformulated Income'!D10</f>
        <v>3529</v>
      </c>
      <c r="E18" s="32">
        <f>'Reformulated Income'!E10</f>
        <v>4065</v>
      </c>
      <c r="F18" s="32">
        <f>'Reformulated Income'!F10</f>
        <v>4604</v>
      </c>
      <c r="G18" s="32">
        <f>'Reformulated Income'!G10</f>
        <v>4679.3221341304916</v>
      </c>
      <c r="H18" s="32">
        <f>'Reformulated Income'!H10</f>
        <v>4755.876549731438</v>
      </c>
      <c r="I18" s="32">
        <f>'Reformulated Income'!I10</f>
        <v>4833.6834071134826</v>
      </c>
      <c r="J18" s="32">
        <f>'Reformulated Income'!J10</f>
        <v>4912.7631964129905</v>
      </c>
      <c r="K18" s="32">
        <f>'Reformulated Income'!K10</f>
        <v>4993.1367429880474</v>
      </c>
    </row>
    <row r="19" spans="1:11">
      <c r="A19" t="s">
        <v>250</v>
      </c>
      <c r="B19" s="12">
        <f>WACC!B5</f>
        <v>2376</v>
      </c>
      <c r="C19" s="12">
        <f>WACC!C5</f>
        <v>10684</v>
      </c>
      <c r="D19" s="12">
        <f>WACC!D5</f>
        <v>3534</v>
      </c>
      <c r="E19" s="12">
        <f>WACC!E5</f>
        <v>4353</v>
      </c>
      <c r="F19" s="12">
        <f>WACC!F5</f>
        <v>6542.1204898362557</v>
      </c>
      <c r="G19" s="12">
        <f>WACC!G5</f>
        <v>6809.9653564316714</v>
      </c>
      <c r="H19" s="12">
        <f>WACC!H5</f>
        <v>7098.1667037979132</v>
      </c>
      <c r="I19" s="12">
        <f>WACC!I5</f>
        <v>7408.6443899810429</v>
      </c>
      <c r="J19" s="12">
        <f>WACC!J5</f>
        <v>7743.5073088702447</v>
      </c>
      <c r="K19" s="12">
        <f>WACC!K5</f>
        <v>0</v>
      </c>
    </row>
    <row r="20" spans="1:11">
      <c r="A20" t="s">
        <v>251</v>
      </c>
      <c r="B20" s="12">
        <v>0</v>
      </c>
      <c r="C20" s="12">
        <f>'Net Working Capital'!C17-'Net Working Capital'!B17</f>
        <v>6606</v>
      </c>
      <c r="D20" s="12">
        <f>'Net Working Capital'!D17-'Net Working Capital'!C17</f>
        <v>-6860</v>
      </c>
      <c r="E20" s="12">
        <f>'Net Working Capital'!E17-'Net Working Capital'!D17</f>
        <v>2036</v>
      </c>
      <c r="F20" s="12">
        <f>'Net Working Capital'!F17-'Net Working Capital'!E17</f>
        <v>823</v>
      </c>
      <c r="G20" s="12">
        <f>'Net Working Capital'!G17-'Net Working Capital'!F17</f>
        <v>11321.676577504055</v>
      </c>
      <c r="H20" s="12">
        <f>'Net Working Capital'!H17-'Net Working Capital'!G17</f>
        <v>13444.690836849899</v>
      </c>
      <c r="I20" s="12">
        <f>'Net Working Capital'!I17-'Net Working Capital'!H17</f>
        <v>15984.379718857628</v>
      </c>
      <c r="J20" s="12">
        <f>'Net Working Capital'!J17-'Net Working Capital'!I17</f>
        <v>19023.421796835886</v>
      </c>
      <c r="K20" s="12">
        <f>'Net Working Capital'!K17-'Net Working Capital'!J17</f>
        <v>22660.881739110671</v>
      </c>
    </row>
    <row r="21" spans="1:11">
      <c r="A21" s="60" t="s">
        <v>253</v>
      </c>
      <c r="B21" s="78">
        <f>B17+B18-B19-B20</f>
        <v>21928</v>
      </c>
      <c r="C21" s="78">
        <f t="shared" ref="C21:K21" si="8">C17+C18-C19-C20</f>
        <v>12215</v>
      </c>
      <c r="D21" s="78">
        <f t="shared" si="8"/>
        <v>35634</v>
      </c>
      <c r="E21" s="78">
        <f t="shared" si="8"/>
        <v>28959</v>
      </c>
      <c r="F21" s="78">
        <f t="shared" si="8"/>
        <v>32453.879510163744</v>
      </c>
      <c r="G21" s="78">
        <f t="shared" si="8"/>
        <v>10767.82436496166</v>
      </c>
      <c r="H21" s="78">
        <f t="shared" si="8"/>
        <v>-6773.2354217889006</v>
      </c>
      <c r="I21" s="78">
        <f t="shared" si="8"/>
        <v>-30042.84017957489</v>
      </c>
      <c r="J21" s="78">
        <f t="shared" si="8"/>
        <v>-60454.399139506553</v>
      </c>
      <c r="K21" s="78">
        <f t="shared" si="8"/>
        <v>-91638.146106804052</v>
      </c>
    </row>
    <row r="22" spans="1:11">
      <c r="B22" s="32"/>
    </row>
    <row r="23" spans="1:11">
      <c r="B23" s="32"/>
    </row>
    <row r="24" spans="1:11">
      <c r="A24" s="59" t="s">
        <v>254</v>
      </c>
      <c r="C24" s="12"/>
    </row>
    <row r="25" spans="1:11">
      <c r="A25" s="26" t="s">
        <v>154</v>
      </c>
      <c r="B25" s="13">
        <v>2018</v>
      </c>
      <c r="C25" s="13">
        <f>B25+1</f>
        <v>2019</v>
      </c>
      <c r="D25" s="13">
        <f t="shared" ref="D25" si="9">C25+1</f>
        <v>2020</v>
      </c>
      <c r="E25" s="13">
        <f t="shared" ref="E25" si="10">D25+1</f>
        <v>2021</v>
      </c>
      <c r="F25" s="13">
        <f t="shared" ref="F25" si="11">E25+1</f>
        <v>2022</v>
      </c>
      <c r="G25" s="17">
        <f t="shared" ref="G25" si="12">F25+1</f>
        <v>2023</v>
      </c>
      <c r="H25" s="17">
        <f t="shared" ref="H25" si="13">G25+1</f>
        <v>2024</v>
      </c>
      <c r="I25" s="17">
        <f t="shared" ref="I25" si="14">H25+1</f>
        <v>2025</v>
      </c>
      <c r="J25" s="17">
        <f t="shared" ref="J25" si="15">I25+1</f>
        <v>2026</v>
      </c>
      <c r="K25" s="17">
        <f t="shared" ref="K25" si="16">J25+1</f>
        <v>2027</v>
      </c>
    </row>
    <row r="26" spans="1:11">
      <c r="A26" s="61" t="s">
        <v>255</v>
      </c>
      <c r="C26" s="8">
        <f>C3/B3-1</f>
        <v>0.18975012997140639</v>
      </c>
      <c r="D26" s="8">
        <f>D3/C3-1</f>
        <v>7.1594873790650215E-2</v>
      </c>
      <c r="E26" s="8">
        <f>E3/D3-1</f>
        <v>4.6053176509566862E-2</v>
      </c>
      <c r="F26" s="8">
        <f>F3/E3-1</f>
        <v>0.1679711530847805</v>
      </c>
      <c r="G26" s="8">
        <f>G3/F3-1</f>
        <v>0.10124872806302831</v>
      </c>
      <c r="H26" s="8">
        <f>H3/G3-1</f>
        <v>0.10124872806302831</v>
      </c>
      <c r="I26" s="8">
        <f>I3/H3-1</f>
        <v>0.10124872806302831</v>
      </c>
      <c r="J26" s="8">
        <f>J3/I3-1</f>
        <v>0.10124872806302831</v>
      </c>
      <c r="K26" s="8">
        <f>K3/J3-1</f>
        <v>0.10124872806302831</v>
      </c>
    </row>
    <row r="27" spans="1:11">
      <c r="A27" s="61"/>
    </row>
    <row r="28" spans="1:11">
      <c r="A28" s="61" t="s">
        <v>256</v>
      </c>
      <c r="B28" s="8">
        <f>B4/B3</f>
        <v>2.1932674811541462E-2</v>
      </c>
      <c r="C28" s="8">
        <f>C4/C3</f>
        <v>1.5498794917487693E-2</v>
      </c>
      <c r="D28" s="8">
        <f>D4/D3</f>
        <v>1.2137700781782617E-2</v>
      </c>
      <c r="E28" s="8">
        <f>E4/E3</f>
        <v>8.9050232371160401E-3</v>
      </c>
      <c r="F28" s="8">
        <f>F4/F3</f>
        <v>6.0650625280307064E-3</v>
      </c>
      <c r="G28" s="8">
        <f>G4/G3</f>
        <v>5.6282340348954574E-3</v>
      </c>
      <c r="H28" s="8">
        <f>H4/H3</f>
        <v>5.2228675640448785E-3</v>
      </c>
      <c r="I28" s="8">
        <f>I4/I3</f>
        <v>4.8466971029321754E-3</v>
      </c>
      <c r="J28" s="8">
        <f>J4/J3</f>
        <v>4.497619845711503E-3</v>
      </c>
      <c r="K28" s="8">
        <f>K4/K3</f>
        <v>4.1736844384807929E-3</v>
      </c>
    </row>
    <row r="29" spans="1:11">
      <c r="A29" s="61" t="s">
        <v>268</v>
      </c>
      <c r="B29" s="8">
        <f>B9/B3</f>
        <v>0.26413439043410447</v>
      </c>
      <c r="C29" s="8">
        <f>C9/C3</f>
        <v>0.26973365286795981</v>
      </c>
      <c r="D29" s="8">
        <f>D9/D3</f>
        <v>0.26829734499741953</v>
      </c>
      <c r="E29" s="8">
        <f>E9/E3</f>
        <v>0.28351108864213626</v>
      </c>
      <c r="F29" s="8">
        <f>F9/F3</f>
        <v>0.27669305464292793</v>
      </c>
      <c r="G29" s="8">
        <f>G9/G3</f>
        <v>0.21642164618408616</v>
      </c>
      <c r="H29" s="8">
        <f>H9/H3</f>
        <v>0.15091523124677803</v>
      </c>
      <c r="I29" s="8">
        <f>I9/I3</f>
        <v>7.9725464753795799E-2</v>
      </c>
      <c r="J29" s="8">
        <f>J9/J3</f>
        <v>2.3644967776607572E-3</v>
      </c>
      <c r="K29" s="8">
        <f>K9/K3</f>
        <v>-8.1698472590943566E-2</v>
      </c>
    </row>
    <row r="30" spans="1:11">
      <c r="A30" s="61" t="s">
        <v>257</v>
      </c>
      <c r="B30" s="8">
        <f>B13/B11</f>
        <v>0.26922824732804407</v>
      </c>
      <c r="C30" s="8">
        <f>C13/C11</f>
        <v>0.26704939919893189</v>
      </c>
      <c r="D30" s="8">
        <f>D13/D11</f>
        <v>0.2540435458786936</v>
      </c>
      <c r="E30" s="8">
        <f>E13/E11</f>
        <v>0.26360019773545823</v>
      </c>
      <c r="F30" s="8">
        <f>F13/F11</f>
        <v>0.27321321693187212</v>
      </c>
      <c r="G30" s="8">
        <f>G13/G11</f>
        <v>0.40958428789361417</v>
      </c>
      <c r="H30" s="8">
        <f>H13/H11</f>
        <v>0.70290271590647002</v>
      </c>
      <c r="I30" s="8">
        <f>I13/I11</f>
        <v>1.7368969053212437</v>
      </c>
      <c r="J30" s="8">
        <f>J13/J11</f>
        <v>-8.0911389689356099</v>
      </c>
      <c r="K30" s="8">
        <f>K13/K11</f>
        <v>-1.4358863720821642</v>
      </c>
    </row>
    <row r="32" spans="1:11">
      <c r="A32" s="64" t="s">
        <v>252</v>
      </c>
      <c r="B32" s="64">
        <f>'Consolidated Balance Sheet'!B43</f>
        <v>82969</v>
      </c>
      <c r="C32" s="64">
        <f>'Consolidated Balance Sheet'!C43</f>
        <v>93831</v>
      </c>
      <c r="D32" s="64">
        <f>'Consolidated Balance Sheet'!D43</f>
        <v>91947</v>
      </c>
      <c r="E32" s="64">
        <f>'Consolidated Balance Sheet'!E43</f>
        <v>101078</v>
      </c>
      <c r="F32" s="64">
        <f>'Consolidated Balance Sheet'!F43</f>
        <v>110097</v>
      </c>
    </row>
    <row r="33" spans="1:6">
      <c r="A33" s="64" t="s">
        <v>270</v>
      </c>
      <c r="B33" s="64">
        <f>'Consolidated Balance Sheet'!B22</f>
        <v>17828</v>
      </c>
      <c r="C33" s="64">
        <f>'Consolidated Balance Sheet'!C22</f>
        <v>22084</v>
      </c>
      <c r="D33" s="64">
        <f>'Consolidated Balance Sheet'!D22</f>
        <v>27060</v>
      </c>
      <c r="E33" s="64">
        <f>'Consolidated Balance Sheet'!E22</f>
        <v>34155</v>
      </c>
      <c r="F33" s="64">
        <f>'Consolidated Balance Sheet'!F22</f>
        <v>42351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E1CBC4-CF41-5443-AF64-DE5B098ACD4A}">
  <dimension ref="A1:N40"/>
  <sheetViews>
    <sheetView topLeftCell="A9" workbookViewId="0">
      <selection activeCell="B16" sqref="B16"/>
    </sheetView>
  </sheetViews>
  <sheetFormatPr baseColWidth="10" defaultRowHeight="16"/>
  <cols>
    <col min="1" max="1" width="37.33203125" bestFit="1" customWidth="1"/>
    <col min="2" max="2" width="20.33203125" bestFit="1" customWidth="1"/>
    <col min="3" max="3" width="12.1640625" bestFit="1" customWidth="1"/>
    <col min="4" max="11" width="11.6640625" bestFit="1" customWidth="1"/>
    <col min="13" max="13" width="13.83203125" bestFit="1" customWidth="1"/>
  </cols>
  <sheetData>
    <row r="1" spans="1:11">
      <c r="A1" s="29" t="s">
        <v>261</v>
      </c>
      <c r="C1" s="2" t="s">
        <v>1</v>
      </c>
    </row>
    <row r="2" spans="1:11">
      <c r="A2" s="26" t="s">
        <v>154</v>
      </c>
      <c r="B2" s="13">
        <v>2018</v>
      </c>
      <c r="C2" s="13">
        <f>B2+1</f>
        <v>2019</v>
      </c>
      <c r="D2" s="13">
        <f t="shared" ref="D2:K2" si="0">C2+1</f>
        <v>2020</v>
      </c>
      <c r="E2" s="13">
        <f t="shared" si="0"/>
        <v>2021</v>
      </c>
      <c r="F2" s="13">
        <f t="shared" si="0"/>
        <v>2022</v>
      </c>
      <c r="G2" s="17">
        <f t="shared" si="0"/>
        <v>2023</v>
      </c>
      <c r="H2" s="17">
        <f t="shared" si="0"/>
        <v>2024</v>
      </c>
      <c r="I2" s="17">
        <f t="shared" si="0"/>
        <v>2025</v>
      </c>
      <c r="J2" s="17">
        <f t="shared" si="0"/>
        <v>2026</v>
      </c>
      <c r="K2" s="17">
        <f t="shared" si="0"/>
        <v>2027</v>
      </c>
    </row>
    <row r="3" spans="1:11">
      <c r="A3" s="54" t="s">
        <v>262</v>
      </c>
      <c r="B3" s="12">
        <f>'Reformulated Balance Sheet'!B4</f>
        <v>10228</v>
      </c>
      <c r="C3" s="12">
        <f>'Reformulated Balance Sheet'!C4</f>
        <v>10590</v>
      </c>
      <c r="D3" s="12">
        <f>'Reformulated Balance Sheet'!D4</f>
        <v>19218</v>
      </c>
      <c r="E3" s="12">
        <f>'Reformulated Balance Sheet'!E4</f>
        <v>19223</v>
      </c>
      <c r="F3" s="12">
        <f>'Reformulated Balance Sheet'!F4</f>
        <v>19511</v>
      </c>
      <c r="G3" s="12">
        <f>'Reformulated Balance Sheet'!G4</f>
        <v>21449.120489836256</v>
      </c>
      <c r="H3" s="12">
        <f>'Reformulated Balance Sheet'!H4</f>
        <v>23579.763712137436</v>
      </c>
      <c r="I3" s="12">
        <f>'Reformulated Balance Sheet'!I4</f>
        <v>25922.053866203911</v>
      </c>
      <c r="J3" s="12">
        <f>'Reformulated Balance Sheet'!J4</f>
        <v>28497.014849071471</v>
      </c>
      <c r="K3" s="12">
        <f>'Reformulated Balance Sheet'!K4</f>
        <v>31327.758961528725</v>
      </c>
    </row>
    <row r="4" spans="1:11">
      <c r="A4" s="54" t="s">
        <v>263</v>
      </c>
      <c r="B4" s="32">
        <f>'Reformulated Income'!B10</f>
        <v>2014</v>
      </c>
      <c r="C4" s="32">
        <f>'Reformulated Income'!C10</f>
        <v>2056</v>
      </c>
      <c r="D4" s="32">
        <f>'Reformulated Income'!D10</f>
        <v>3529</v>
      </c>
      <c r="E4" s="32">
        <f>'Reformulated Income'!E10</f>
        <v>4065</v>
      </c>
      <c r="F4" s="32">
        <f>'Reformulated Income'!F10</f>
        <v>4604</v>
      </c>
      <c r="G4" s="32">
        <f>'Reformulated Income'!G10</f>
        <v>4679.3221341304916</v>
      </c>
      <c r="H4" s="32">
        <f>'Reformulated Income'!H10</f>
        <v>4755.876549731438</v>
      </c>
      <c r="I4" s="32">
        <f>'Reformulated Income'!I10</f>
        <v>4833.6834071134826</v>
      </c>
      <c r="J4" s="32">
        <f>'Reformulated Income'!J10</f>
        <v>4912.7631964129905</v>
      </c>
      <c r="K4" s="32">
        <f>'Reformulated Income'!K10</f>
        <v>4993.1367429880474</v>
      </c>
    </row>
    <row r="5" spans="1:11">
      <c r="A5" s="54" t="s">
        <v>264</v>
      </c>
      <c r="B5" s="12">
        <f>B6-B3+B4</f>
        <v>2376</v>
      </c>
      <c r="C5" s="12">
        <f t="shared" ref="C5:J5" si="1">C6-C3+C4</f>
        <v>10684</v>
      </c>
      <c r="D5" s="12">
        <f t="shared" si="1"/>
        <v>3534</v>
      </c>
      <c r="E5" s="12">
        <f t="shared" si="1"/>
        <v>4353</v>
      </c>
      <c r="F5" s="12">
        <f t="shared" si="1"/>
        <v>6542.1204898362557</v>
      </c>
      <c r="G5" s="12">
        <f t="shared" si="1"/>
        <v>6809.9653564316714</v>
      </c>
      <c r="H5" s="12">
        <f t="shared" si="1"/>
        <v>7098.1667037979132</v>
      </c>
      <c r="I5" s="12">
        <f t="shared" si="1"/>
        <v>7408.6443899810429</v>
      </c>
      <c r="J5" s="12">
        <f t="shared" si="1"/>
        <v>7743.5073088702447</v>
      </c>
      <c r="K5" s="12"/>
    </row>
    <row r="6" spans="1:11">
      <c r="A6" s="63" t="s">
        <v>265</v>
      </c>
      <c r="B6" s="65">
        <f>'Reformulated Balance Sheet'!C4</f>
        <v>10590</v>
      </c>
      <c r="C6" s="65">
        <f>'Reformulated Balance Sheet'!D4</f>
        <v>19218</v>
      </c>
      <c r="D6" s="65">
        <f>'Reformulated Balance Sheet'!E4</f>
        <v>19223</v>
      </c>
      <c r="E6" s="65">
        <f>'Reformulated Balance Sheet'!F4</f>
        <v>19511</v>
      </c>
      <c r="F6" s="65">
        <f>'Reformulated Balance Sheet'!G4</f>
        <v>21449.120489836256</v>
      </c>
      <c r="G6" s="65">
        <f>'Reformulated Balance Sheet'!H4</f>
        <v>23579.763712137436</v>
      </c>
      <c r="H6" s="65">
        <f>'Reformulated Balance Sheet'!I4</f>
        <v>25922.053866203911</v>
      </c>
      <c r="I6" s="65">
        <f>'Reformulated Balance Sheet'!J4</f>
        <v>28497.014849071471</v>
      </c>
      <c r="J6" s="65">
        <f>'Reformulated Balance Sheet'!K4</f>
        <v>31327.758961528725</v>
      </c>
      <c r="K6" s="65"/>
    </row>
    <row r="8" spans="1:11">
      <c r="A8" s="53" t="s">
        <v>254</v>
      </c>
    </row>
    <row r="9" spans="1:11">
      <c r="A9" s="26" t="s">
        <v>154</v>
      </c>
      <c r="B9" s="13">
        <v>2018</v>
      </c>
      <c r="C9" s="13">
        <f>B9+1</f>
        <v>2019</v>
      </c>
      <c r="D9" s="13">
        <f t="shared" ref="D9" si="2">C9+1</f>
        <v>2020</v>
      </c>
      <c r="E9" s="13">
        <f t="shared" ref="E9" si="3">D9+1</f>
        <v>2021</v>
      </c>
      <c r="F9" s="13">
        <f t="shared" ref="F9" si="4">E9+1</f>
        <v>2022</v>
      </c>
      <c r="G9" s="17">
        <f t="shared" ref="G9" si="5">F9+1</f>
        <v>2023</v>
      </c>
      <c r="H9" s="17">
        <f t="shared" ref="H9" si="6">G9+1</f>
        <v>2024</v>
      </c>
      <c r="I9" s="17">
        <f t="shared" ref="I9" si="7">H9+1</f>
        <v>2025</v>
      </c>
      <c r="J9" s="17">
        <f t="shared" ref="J9" si="8">I9+1</f>
        <v>2026</v>
      </c>
      <c r="K9" s="17">
        <f t="shared" ref="K9" si="9">J9+1</f>
        <v>2027</v>
      </c>
    </row>
    <row r="10" spans="1:11">
      <c r="A10" s="58" t="s">
        <v>266</v>
      </c>
      <c r="B10" s="8">
        <f>B4/B3</f>
        <v>0.19691044192412985</v>
      </c>
      <c r="C10" s="8">
        <f t="shared" ref="C10:K10" si="10">C4/C3</f>
        <v>0.19414542020774314</v>
      </c>
      <c r="D10" s="8">
        <f t="shared" si="10"/>
        <v>0.18362993027370172</v>
      </c>
      <c r="E10" s="8">
        <f t="shared" si="10"/>
        <v>0.21146543203454196</v>
      </c>
      <c r="F10" s="8">
        <f t="shared" si="10"/>
        <v>0.23596945312900416</v>
      </c>
      <c r="G10" s="8">
        <f t="shared" si="10"/>
        <v>0.21815916118088877</v>
      </c>
      <c r="H10" s="8">
        <f t="shared" si="10"/>
        <v>0.20169313856539625</v>
      </c>
      <c r="I10" s="8">
        <f t="shared" si="10"/>
        <v>0.18646992372064455</v>
      </c>
      <c r="J10" s="8">
        <f t="shared" si="10"/>
        <v>0.17239571311003704</v>
      </c>
      <c r="K10" s="8">
        <f t="shared" si="10"/>
        <v>0.15938378321665922</v>
      </c>
    </row>
    <row r="11" spans="1:11">
      <c r="A11" s="58" t="s">
        <v>267</v>
      </c>
      <c r="B11" s="8">
        <f>B5/B3</f>
        <v>0.23230348064137663</v>
      </c>
      <c r="C11" s="8">
        <f t="shared" ref="C11:J11" si="11">C5/C3</f>
        <v>1.0088762983947119</v>
      </c>
      <c r="D11" s="8">
        <f t="shared" si="11"/>
        <v>0.18389010302841086</v>
      </c>
      <c r="E11" s="8">
        <f t="shared" si="11"/>
        <v>0.22644748478385268</v>
      </c>
      <c r="F11" s="8">
        <f t="shared" si="11"/>
        <v>0.33530421248712294</v>
      </c>
      <c r="G11" s="8">
        <f t="shared" si="11"/>
        <v>0.31749392053900755</v>
      </c>
      <c r="H11" s="8">
        <f t="shared" si="11"/>
        <v>0.30102789792351509</v>
      </c>
      <c r="I11" s="8">
        <f t="shared" si="11"/>
        <v>0.28580468307876344</v>
      </c>
      <c r="J11" s="8">
        <f t="shared" si="11"/>
        <v>0.2717304724681559</v>
      </c>
      <c r="K11" s="8"/>
    </row>
    <row r="14" spans="1:11">
      <c r="A14" s="60" t="str">
        <f>'FREE CASHFLOW'!A21</f>
        <v>Unlevered Free Cash Flow</v>
      </c>
      <c r="B14" s="78">
        <f>'FREE CASHFLOW'!B21</f>
        <v>21928</v>
      </c>
      <c r="C14" s="78">
        <f>'FREE CASHFLOW'!C21</f>
        <v>12215</v>
      </c>
      <c r="D14" s="78">
        <f>'FREE CASHFLOW'!D21</f>
        <v>35634</v>
      </c>
      <c r="E14" s="78">
        <f>'FREE CASHFLOW'!E21</f>
        <v>28959</v>
      </c>
      <c r="F14" s="78">
        <f>'FREE CASHFLOW'!F21</f>
        <v>32453.879510163744</v>
      </c>
      <c r="G14" s="78">
        <f>'FREE CASHFLOW'!G21</f>
        <v>10767.82436496166</v>
      </c>
      <c r="H14" s="78">
        <f>'FREE CASHFLOW'!H21</f>
        <v>-6773.2354217889006</v>
      </c>
      <c r="I14" s="78">
        <f>'FREE CASHFLOW'!I21</f>
        <v>-30042.84017957489</v>
      </c>
      <c r="J14" s="78">
        <f>'FREE CASHFLOW'!J21</f>
        <v>-60454.399139506553</v>
      </c>
      <c r="K14" s="78">
        <f>'FREE CASHFLOW'!K21</f>
        <v>-91638.146106804052</v>
      </c>
    </row>
    <row r="16" spans="1:11">
      <c r="A16" s="79" t="s">
        <v>308</v>
      </c>
    </row>
    <row r="17" spans="1:14">
      <c r="A17" s="79" t="s">
        <v>309</v>
      </c>
    </row>
    <row r="18" spans="1:14">
      <c r="A18" s="80"/>
    </row>
    <row r="19" spans="1:14">
      <c r="A19" t="s">
        <v>306</v>
      </c>
    </row>
    <row r="21" spans="1:14">
      <c r="A21" t="s">
        <v>303</v>
      </c>
      <c r="B21" s="86">
        <f>'Reformulated Balance Sheet'!K37+'Reformulated Balance Sheet'!K7</f>
        <v>26149.302038348378</v>
      </c>
    </row>
    <row r="22" spans="1:14">
      <c r="A22" t="s">
        <v>307</v>
      </c>
      <c r="B22" s="84">
        <v>3161.8</v>
      </c>
      <c r="N22" s="81"/>
    </row>
    <row r="23" spans="1:14">
      <c r="A23" t="s">
        <v>311</v>
      </c>
      <c r="B23" s="88">
        <v>1157028</v>
      </c>
    </row>
    <row r="25" spans="1:14">
      <c r="A25" s="69" t="s">
        <v>279</v>
      </c>
      <c r="B25" s="67"/>
    </row>
    <row r="26" spans="1:14">
      <c r="A26" s="68" t="s">
        <v>280</v>
      </c>
      <c r="B26" s="86">
        <f>B21</f>
        <v>26149.302038348378</v>
      </c>
    </row>
    <row r="27" spans="1:14">
      <c r="A27" s="68" t="s">
        <v>281</v>
      </c>
      <c r="B27" s="86">
        <f>'Reformulated Balance Sheet'!K15</f>
        <v>9341.9573056130794</v>
      </c>
    </row>
    <row r="28" spans="1:14">
      <c r="A28" s="68" t="s">
        <v>282</v>
      </c>
      <c r="B28" s="7">
        <f>'Reformulated Income'!K25/WACC!B27</f>
        <v>9.7218658650328069E-2</v>
      </c>
      <c r="C28" s="7"/>
    </row>
    <row r="29" spans="1:14">
      <c r="A29" s="68" t="s">
        <v>198</v>
      </c>
      <c r="B29" s="22">
        <f>'Assumption '!E14</f>
        <v>0.3</v>
      </c>
    </row>
    <row r="30" spans="1:14">
      <c r="A30" s="68" t="s">
        <v>283</v>
      </c>
      <c r="B30" s="7">
        <f>B27/SUM(B26:B27)</f>
        <v>0.26321853544491192</v>
      </c>
    </row>
    <row r="31" spans="1:14">
      <c r="A31" s="63" t="s">
        <v>284</v>
      </c>
      <c r="B31" s="87">
        <f>B28*(1-B29)</f>
        <v>6.8053061055229638E-2</v>
      </c>
    </row>
    <row r="32" spans="1:14">
      <c r="A32" s="55"/>
    </row>
    <row r="33" spans="1:5">
      <c r="A33" s="68" t="s">
        <v>285</v>
      </c>
      <c r="B33" s="81">
        <v>7.4630000000000002E-2</v>
      </c>
    </row>
    <row r="34" spans="1:5">
      <c r="A34" s="68" t="s">
        <v>286</v>
      </c>
      <c r="B34" s="22">
        <v>0.1</v>
      </c>
      <c r="E34" s="77" t="s">
        <v>316</v>
      </c>
    </row>
    <row r="35" spans="1:5">
      <c r="A35" s="68" t="s">
        <v>314</v>
      </c>
      <c r="B35" s="81">
        <f>B34-B33</f>
        <v>2.5370000000000004E-2</v>
      </c>
      <c r="E35" s="89" t="s">
        <v>315</v>
      </c>
    </row>
    <row r="36" spans="1:5">
      <c r="A36" s="68" t="s">
        <v>287</v>
      </c>
      <c r="B36">
        <v>0.87</v>
      </c>
    </row>
    <row r="37" spans="1:5">
      <c r="A37" s="68" t="s">
        <v>288</v>
      </c>
      <c r="B37" s="7">
        <f>B26/SUM(B26:B27)</f>
        <v>0.73678146455508808</v>
      </c>
    </row>
    <row r="38" spans="1:5">
      <c r="A38" s="63" t="s">
        <v>289</v>
      </c>
      <c r="B38" s="81">
        <f>B33+B36*B35</f>
        <v>9.6701900000000007E-2</v>
      </c>
    </row>
    <row r="39" spans="1:5">
      <c r="A39" s="68"/>
    </row>
    <row r="40" spans="1:5">
      <c r="A40" s="60" t="s">
        <v>290</v>
      </c>
      <c r="B40" s="8">
        <f>B38*B37+B31*B30</f>
        <v>8.9160994570760405E-2</v>
      </c>
    </row>
  </sheetData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7A4341-EFCF-B848-8E60-C3C35F440D62}">
  <dimension ref="A1:K25"/>
  <sheetViews>
    <sheetView workbookViewId="0">
      <selection activeCell="E30" sqref="E30"/>
    </sheetView>
  </sheetViews>
  <sheetFormatPr baseColWidth="10" defaultRowHeight="16"/>
  <cols>
    <col min="1" max="1" width="26.33203125" bestFit="1" customWidth="1"/>
    <col min="2" max="2" width="13" bestFit="1" customWidth="1"/>
  </cols>
  <sheetData>
    <row r="1" spans="1:11">
      <c r="A1" s="53" t="s">
        <v>245</v>
      </c>
      <c r="B1" s="53"/>
      <c r="C1" s="53"/>
      <c r="D1" s="53"/>
      <c r="E1" s="53"/>
      <c r="F1" s="53"/>
      <c r="G1" s="53"/>
      <c r="H1" s="53"/>
      <c r="I1" s="53"/>
      <c r="J1" s="53"/>
    </row>
    <row r="2" spans="1:11">
      <c r="A2" s="26" t="s">
        <v>154</v>
      </c>
      <c r="B2" s="13">
        <v>2018</v>
      </c>
      <c r="C2" s="13">
        <f>B2+1</f>
        <v>2019</v>
      </c>
      <c r="D2" s="13">
        <f t="shared" ref="D2:K2" si="0">C2+1</f>
        <v>2020</v>
      </c>
      <c r="E2" s="13">
        <f t="shared" si="0"/>
        <v>2021</v>
      </c>
      <c r="F2" s="13">
        <f t="shared" si="0"/>
        <v>2022</v>
      </c>
      <c r="G2" s="17">
        <f t="shared" si="0"/>
        <v>2023</v>
      </c>
      <c r="H2" s="17">
        <f t="shared" si="0"/>
        <v>2024</v>
      </c>
      <c r="I2" s="17">
        <f t="shared" si="0"/>
        <v>2025</v>
      </c>
      <c r="J2" s="17">
        <f t="shared" si="0"/>
        <v>2026</v>
      </c>
      <c r="K2" s="17">
        <f t="shared" si="0"/>
        <v>2027</v>
      </c>
    </row>
    <row r="3" spans="1:11">
      <c r="A3" s="57" t="str">
        <f>'FREE CASHFLOW'!A21</f>
        <v>Unlevered Free Cash Flow</v>
      </c>
      <c r="B3" s="82">
        <f>'FREE CASHFLOW'!B21</f>
        <v>21928</v>
      </c>
      <c r="C3" s="82">
        <f>'FREE CASHFLOW'!C21</f>
        <v>12215</v>
      </c>
      <c r="D3" s="82">
        <f>'FREE CASHFLOW'!D21</f>
        <v>35634</v>
      </c>
      <c r="E3" s="82">
        <f>'FREE CASHFLOW'!E21</f>
        <v>28959</v>
      </c>
      <c r="F3" s="82">
        <f>'FREE CASHFLOW'!F21</f>
        <v>32453.879510163744</v>
      </c>
      <c r="G3" s="82">
        <f>'FREE CASHFLOW'!G21</f>
        <v>10767.82436496166</v>
      </c>
      <c r="H3" s="82">
        <f>'FREE CASHFLOW'!H21</f>
        <v>-6773.2354217889006</v>
      </c>
      <c r="I3" s="82">
        <f>'FREE CASHFLOW'!I21</f>
        <v>-30042.84017957489</v>
      </c>
      <c r="J3" s="82">
        <f>'FREE CASHFLOW'!J21</f>
        <v>-60454.399139506553</v>
      </c>
      <c r="K3" s="82">
        <f>'FREE CASHFLOW'!K21</f>
        <v>-91638.146106804052</v>
      </c>
    </row>
    <row r="5" spans="1:11">
      <c r="A5" s="54" t="s">
        <v>291</v>
      </c>
      <c r="G5" s="54">
        <v>1</v>
      </c>
      <c r="H5" s="54">
        <v>2</v>
      </c>
      <c r="I5" s="54">
        <v>3</v>
      </c>
      <c r="J5" s="54">
        <v>4</v>
      </c>
      <c r="K5" s="54">
        <v>5</v>
      </c>
    </row>
    <row r="6" spans="1:11">
      <c r="A6" s="63" t="s">
        <v>292</v>
      </c>
      <c r="B6" s="63"/>
      <c r="C6" s="63"/>
      <c r="D6" s="63"/>
      <c r="E6" s="63"/>
      <c r="F6" s="71"/>
      <c r="G6" s="71">
        <f>PV($B$10/12,$G$5*12,,-G3,)</f>
        <v>10449.978275972597</v>
      </c>
      <c r="H6" s="71">
        <f t="shared" ref="H6:K6" si="1">PV($B$10/12,$G$5*12,,-H3,)</f>
        <v>-6573.3021469090536</v>
      </c>
      <c r="I6" s="71">
        <f t="shared" si="1"/>
        <v>-29156.031579290353</v>
      </c>
      <c r="J6" s="71">
        <f t="shared" si="1"/>
        <v>-58669.898048348165</v>
      </c>
      <c r="K6" s="71">
        <f t="shared" si="1"/>
        <v>-88933.158975231374</v>
      </c>
    </row>
    <row r="8" spans="1:11">
      <c r="A8" s="53" t="s">
        <v>293</v>
      </c>
      <c r="B8" s="67"/>
      <c r="D8" s="95" t="s">
        <v>294</v>
      </c>
      <c r="E8" s="96"/>
      <c r="F8" s="96"/>
      <c r="G8" s="96"/>
      <c r="H8" s="96"/>
      <c r="I8" s="96"/>
      <c r="J8" s="96"/>
    </row>
    <row r="9" spans="1:11">
      <c r="A9" s="68" t="s">
        <v>295</v>
      </c>
      <c r="B9" s="32">
        <f>SUM(G6:K6)</f>
        <v>-172882.41247380635</v>
      </c>
    </row>
    <row r="10" spans="1:11">
      <c r="A10" s="68" t="s">
        <v>296</v>
      </c>
      <c r="B10" s="7">
        <v>0.03</v>
      </c>
      <c r="D10" s="68"/>
      <c r="E10" s="68"/>
      <c r="F10" s="95" t="s">
        <v>296</v>
      </c>
      <c r="G10" s="96"/>
      <c r="H10" s="96"/>
      <c r="I10" s="96"/>
      <c r="J10" s="96"/>
    </row>
    <row r="11" spans="1:11">
      <c r="A11" s="68" t="s">
        <v>290</v>
      </c>
      <c r="B11" s="81">
        <f>WACC!B40</f>
        <v>8.9160994570760405E-2</v>
      </c>
      <c r="D11" s="68"/>
      <c r="E11" s="72">
        <f>B20</f>
        <v>-3292.8801276066151</v>
      </c>
      <c r="F11" s="73">
        <f>G11-0.5%</f>
        <v>1.9999999999999997E-2</v>
      </c>
      <c r="G11" s="73">
        <f>H11-0.5%</f>
        <v>2.4999999999999998E-2</v>
      </c>
      <c r="H11" s="73">
        <v>0.03</v>
      </c>
      <c r="I11" s="73">
        <f>H11+0.5%</f>
        <v>3.4999999999999996E-2</v>
      </c>
      <c r="J11" s="73">
        <f>I11+0.5%</f>
        <v>3.9999999999999994E-2</v>
      </c>
    </row>
    <row r="12" spans="1:11">
      <c r="A12" s="68" t="s">
        <v>297</v>
      </c>
      <c r="B12" s="90">
        <f>K3*(1+B10)/(B11-B10)</f>
        <v>-1595431.0973781014</v>
      </c>
      <c r="D12" s="97" t="s">
        <v>290</v>
      </c>
      <c r="E12" s="73">
        <f>E13-0.5%</f>
        <v>7.9160994570760396E-2</v>
      </c>
      <c r="F12" s="72">
        <f t="dataTable" ref="F12:J16" dt2D="1" dtr="1" r1="B10" r2="B11"/>
        <v>-3402.9543569437496</v>
      </c>
      <c r="G12" s="72">
        <v>-3688.6915674720376</v>
      </c>
      <c r="H12" s="72">
        <v>-4033.0475242994062</v>
      </c>
      <c r="I12" s="72">
        <v>-4455.9286140243175</v>
      </c>
      <c r="J12" s="72">
        <v>-4987.4076973261235</v>
      </c>
    </row>
    <row r="13" spans="1:11">
      <c r="A13" s="68" t="s">
        <v>298</v>
      </c>
      <c r="B13" s="91">
        <f>B12/(1+B11)^K5</f>
        <v>-1040920.7205585093</v>
      </c>
      <c r="C13" s="70"/>
      <c r="D13" s="96"/>
      <c r="E13" s="73">
        <f>E14-0.5%</f>
        <v>8.41609945707604E-2</v>
      </c>
      <c r="F13" s="72">
        <v>-3110.9355570568155</v>
      </c>
      <c r="G13" s="74">
        <v>-3347.3125037665905</v>
      </c>
      <c r="H13" s="74">
        <v>-3627.7842326482191</v>
      </c>
      <c r="I13" s="74">
        <v>-3965.8009597277542</v>
      </c>
      <c r="J13" s="72">
        <v>-4380.904381301596</v>
      </c>
    </row>
    <row r="14" spans="1:11">
      <c r="A14" s="68" t="s">
        <v>299</v>
      </c>
      <c r="B14" s="91">
        <f>B13+B9</f>
        <v>-1213803.1330323156</v>
      </c>
      <c r="D14" s="96"/>
      <c r="E14" s="73">
        <v>8.9160994570760405E-2</v>
      </c>
      <c r="F14" s="72">
        <v>-2862.7132308694413</v>
      </c>
      <c r="G14" s="74">
        <v>-3060.844430318029</v>
      </c>
      <c r="H14" s="75">
        <v>-3292.8801276066151</v>
      </c>
      <c r="I14" s="74">
        <v>-3568.206623051994</v>
      </c>
      <c r="J14" s="72">
        <v>-3900.0288442568699</v>
      </c>
    </row>
    <row r="15" spans="1:11">
      <c r="A15" s="56" t="s">
        <v>300</v>
      </c>
      <c r="B15" s="12">
        <f>'Reformulated Balance Sheet'!F7</f>
        <v>18221</v>
      </c>
      <c r="D15" s="96"/>
      <c r="E15" s="73">
        <f>E14+0.5%</f>
        <v>9.4160994570760409E-2</v>
      </c>
      <c r="F15" s="72">
        <v>-2649.3824774434734</v>
      </c>
      <c r="G15" s="74">
        <v>-2817.3278463776032</v>
      </c>
      <c r="H15" s="74">
        <v>-3011.8318674388051</v>
      </c>
      <c r="I15" s="74">
        <v>-3239.6250445027335</v>
      </c>
      <c r="J15" s="72">
        <v>-3509.9232787281612</v>
      </c>
    </row>
    <row r="16" spans="1:11">
      <c r="A16" s="56" t="s">
        <v>301</v>
      </c>
      <c r="B16" s="12">
        <f>'Reformulated Balance Sheet'!F15</f>
        <v>8727</v>
      </c>
      <c r="D16" s="96"/>
      <c r="E16" s="73">
        <f>E15+0.5%</f>
        <v>9.9160994570760413E-2</v>
      </c>
      <c r="F16" s="72">
        <v>-2464.2897874723549</v>
      </c>
      <c r="G16" s="72">
        <v>-2608.030217178316</v>
      </c>
      <c r="H16" s="72">
        <v>-2772.9103684739384</v>
      </c>
      <c r="I16" s="72">
        <v>-2963.8693632626114</v>
      </c>
      <c r="J16" s="72">
        <v>-3187.5160714351864</v>
      </c>
    </row>
    <row r="17" spans="1:5">
      <c r="A17" s="56" t="s">
        <v>302</v>
      </c>
      <c r="B17" s="12">
        <f>'Reformulated Balance Sheet'!F36</f>
        <v>707</v>
      </c>
    </row>
    <row r="18" spans="1:5">
      <c r="A18" s="76" t="s">
        <v>303</v>
      </c>
      <c r="B18" s="91">
        <f>B14+B15-B16-B17</f>
        <v>-1205016.1330323156</v>
      </c>
    </row>
    <row r="19" spans="1:5">
      <c r="A19" s="68" t="s">
        <v>304</v>
      </c>
      <c r="B19" s="32">
        <v>365.94594590000003</v>
      </c>
    </row>
    <row r="20" spans="1:5">
      <c r="A20" s="57" t="s">
        <v>305</v>
      </c>
      <c r="B20" s="24">
        <f>B18/B19</f>
        <v>-3292.8801276066151</v>
      </c>
    </row>
    <row r="25" spans="1:5">
      <c r="E25" t="s">
        <v>310</v>
      </c>
    </row>
  </sheetData>
  <mergeCells count="3">
    <mergeCell ref="D8:J8"/>
    <mergeCell ref="F10:J10"/>
    <mergeCell ref="D12:D16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Consolidated Key Financial Rati</vt:lpstr>
      <vt:lpstr>Consolidated Cash Flow</vt:lpstr>
      <vt:lpstr>Consolidated Balance Sheet</vt:lpstr>
      <vt:lpstr>Consolidated Profit &amp; Loss acco</vt:lpstr>
      <vt:lpstr>Reformulated Balance Sheet</vt:lpstr>
      <vt:lpstr>Reformulated Income</vt:lpstr>
      <vt:lpstr>Reformulated CashFlow Sataement</vt:lpstr>
      <vt:lpstr>Assumption </vt:lpstr>
      <vt:lpstr>Net Working Capital</vt:lpstr>
      <vt:lpstr>FREE CASHFLOW</vt:lpstr>
      <vt:lpstr>WACC</vt:lpstr>
      <vt:lpstr>DCF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Vineet Kumar</dc:creator>
  <cp:lastModifiedBy>Vineet Kumar</cp:lastModifiedBy>
  <dcterms:created xsi:type="dcterms:W3CDTF">2022-08-20T17:28:17Z</dcterms:created>
  <dcterms:modified xsi:type="dcterms:W3CDTF">2022-10-29T16:50:56Z</dcterms:modified>
</cp:coreProperties>
</file>